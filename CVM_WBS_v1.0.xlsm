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extended-properties" Target="docProps/app.xml"/><Relationship Id="xlganttTabId001" Type="http://schemas.microsoft.com/office/2006/relationships/ui/extensibility" Target="customUI/customUI.xml"/><Relationship Id="rId7" Type="http://schemas.openxmlformats.org/package/2006/relationships/metadata/core-properties" Target="docProps/core.xml"/><Relationship Id="rId1" Type="http://schemas.openxmlformats.org/officeDocument/2006/relationships/officeDocument" Target="xl/workbook.xml"/><Relationship Id="rId6" Type="http://schemas.microsoft.com/office/2006/relationships/ui/userCustomization" Target="NULL"/><Relationship Id="rId9"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812" yWindow="1548" windowWidth="20352" windowHeight="13176" tabRatio="636" activeTab="1"/>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7"/>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Schedule!$D$1:$BC$131</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5" i="31" l="1"/>
  <c r="AR5" i="31"/>
  <c r="AI6" i="31"/>
  <c r="AF7" i="31"/>
  <c r="AF8" i="31"/>
  <c r="AF9" i="31"/>
  <c r="AH10" i="31"/>
  <c r="AG11" i="31"/>
  <c r="AG12" i="31"/>
  <c r="AF13" i="31"/>
  <c r="AF14" i="31"/>
  <c r="AH15" i="31"/>
  <c r="AH16" i="31"/>
  <c r="AI17" i="31"/>
  <c r="AI18" i="31"/>
  <c r="AI19" i="31"/>
  <c r="AF20" i="31"/>
  <c r="AF21" i="31"/>
  <c r="AF22" i="31"/>
  <c r="AF23" i="31"/>
  <c r="AF24" i="31"/>
  <c r="AF25" i="31"/>
  <c r="AF26" i="31"/>
  <c r="AG27" i="31"/>
  <c r="AG28" i="31"/>
  <c r="AG29" i="31"/>
  <c r="AG30" i="31"/>
  <c r="AG31" i="31"/>
  <c r="AG32" i="31"/>
  <c r="AG33" i="31"/>
  <c r="AG34" i="31"/>
  <c r="AI35" i="31"/>
  <c r="AI36" i="31"/>
  <c r="AI37" i="31"/>
  <c r="AI38" i="31"/>
  <c r="AI40" i="31"/>
  <c r="AI41" i="31"/>
  <c r="AI42" i="31"/>
  <c r="AI43" i="31"/>
  <c r="AI44" i="31"/>
  <c r="AI45" i="31"/>
  <c r="AI46" i="31"/>
  <c r="AI47" i="31"/>
  <c r="AI48" i="31"/>
  <c r="AI49" i="31"/>
  <c r="AI50" i="31"/>
  <c r="AP50" i="31"/>
  <c r="AI51" i="31"/>
  <c r="AI52" i="31"/>
  <c r="AI53" i="31"/>
  <c r="AI54" i="31"/>
  <c r="AI55" i="31"/>
  <c r="AI56" i="31"/>
  <c r="AI57" i="31"/>
  <c r="AI58" i="31"/>
  <c r="AI59" i="31"/>
  <c r="AJ60" i="31"/>
  <c r="AJ61" i="31"/>
  <c r="AJ62" i="31"/>
  <c r="AJ63" i="31"/>
  <c r="AK64" i="31"/>
  <c r="AK65" i="31"/>
  <c r="AK66" i="31"/>
  <c r="AK67" i="31"/>
  <c r="AK68" i="31"/>
  <c r="AK69" i="31"/>
  <c r="AK70" i="31"/>
  <c r="AK71" i="31"/>
  <c r="AK72" i="31"/>
  <c r="AK73" i="31"/>
  <c r="AK74" i="31"/>
  <c r="AK75" i="31"/>
  <c r="AK76" i="31"/>
  <c r="AK77" i="31"/>
  <c r="AK78" i="31"/>
  <c r="AL79" i="31"/>
  <c r="AL80" i="31"/>
  <c r="AL81" i="31"/>
  <c r="AL82" i="31"/>
  <c r="AL83" i="31"/>
  <c r="AL84" i="31"/>
  <c r="AM85" i="31"/>
  <c r="AM86" i="31"/>
  <c r="AM87" i="31"/>
  <c r="AM88" i="31"/>
  <c r="AM89" i="31"/>
  <c r="AM90" i="31"/>
  <c r="AM91" i="31"/>
  <c r="AM92" i="31"/>
  <c r="AM93" i="31"/>
  <c r="AM94" i="31"/>
  <c r="AM95" i="31"/>
  <c r="AM96" i="31"/>
  <c r="AM97" i="31"/>
  <c r="AN98" i="31"/>
  <c r="AN99" i="31"/>
  <c r="AN100" i="31"/>
  <c r="AN101" i="31"/>
  <c r="AN102" i="31"/>
  <c r="AN103" i="31"/>
  <c r="AO104" i="31"/>
  <c r="AO105" i="31"/>
  <c r="AO106" i="31"/>
  <c r="AO107" i="31"/>
  <c r="AO108" i="31"/>
  <c r="AO109" i="31"/>
  <c r="AO110" i="31"/>
  <c r="AO111" i="31"/>
  <c r="AO112" i="31"/>
  <c r="AO113" i="31"/>
  <c r="AO114" i="31"/>
  <c r="AP115" i="31"/>
  <c r="AP116" i="31"/>
  <c r="AP117" i="31"/>
  <c r="AP118" i="31"/>
  <c r="AJ119" i="31"/>
  <c r="AP119" i="31"/>
  <c r="AJ120" i="31"/>
  <c r="AP120" i="31"/>
  <c r="AO121" i="31"/>
  <c r="AQ122" i="31"/>
  <c r="AQ123" i="31"/>
  <c r="AQ124" i="31"/>
  <c r="AQ125" i="31"/>
  <c r="AR126" i="31"/>
  <c r="AR127" i="31"/>
  <c r="AR128" i="31"/>
  <c r="AR129" i="31"/>
  <c r="AR130" i="31"/>
  <c r="AR131" i="31"/>
  <c r="J18" i="4" l="1"/>
  <c r="G18" i="4"/>
  <c r="D18" i="4"/>
  <c r="K7" i="4"/>
  <c r="K8" i="4" s="1"/>
  <c r="H7" i="4"/>
  <c r="I7" i="4" s="1"/>
  <c r="E7" i="4"/>
  <c r="E8" i="4" s="1"/>
  <c r="AE1" i="31" a="1"/>
  <c r="D1" i="31" a="1"/>
  <c r="AE1" i="31" l="1"/>
  <c r="D1" i="31"/>
  <c r="F7" i="4"/>
  <c r="F8" i="4"/>
  <c r="E9" i="4"/>
  <c r="K9" i="4"/>
  <c r="L9" i="4" s="1"/>
  <c r="L8" i="4"/>
  <c r="H8" i="4"/>
  <c r="L7" i="4"/>
  <c r="E10" i="4" l="1"/>
  <c r="F9" i="4"/>
  <c r="I8" i="4"/>
  <c r="H9" i="4"/>
  <c r="I9" i="4" s="1"/>
  <c r="F10" i="4" l="1"/>
  <c r="E11" i="4"/>
  <c r="E12" i="4" l="1"/>
  <c r="F11"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F12" i="4" l="1"/>
  <c r="E13" i="4"/>
  <c r="AE2" i="31"/>
  <c r="F13" i="4" l="1"/>
  <c r="E14" i="4"/>
  <c r="B24" i="3"/>
  <c r="F14" i="4" l="1"/>
  <c r="E15" i="4"/>
  <c r="E16" i="4" l="1"/>
  <c r="F15" i="4"/>
  <c r="E17" i="4" l="1"/>
  <c r="F17" i="4" s="1"/>
  <c r="F16" i="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<sst xmlns="http://schemas.openxmlformats.org/spreadsheetml/2006/main" count="2848" uniqueCount="1704">
  <si>
    <t>XLGantt  - Project Scheduler</t>
    <phoneticPr fontId="15" type="noConversion"/>
  </si>
  <si>
    <t xml:space="preserve">XLGantt 5.0.0 ©XLWorks </t>
    <phoneticPr fontId="3" type="noConversion"/>
  </si>
  <si>
    <t xml:space="preserve">Help and the latest version - https://xlworks.io/xlgantt-project-scheduler/ </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</si>
  <si>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5" type="noConversion"/>
  </si>
  <si>
    <t>Sheets</t>
    <phoneticPr fontId="15" type="noConversion"/>
  </si>
  <si>
    <t>Schedule</t>
    <phoneticPr fontId="1" type="noConversion"/>
  </si>
  <si>
    <t>When you enter a task and a schedule, the progress rate is calculated and the schedule of the task is displayed as a gantt chart.</t>
    <phoneticPr fontId="1" type="noConversion"/>
  </si>
  <si>
    <t>Progress</t>
    <phoneticPr fontId="1" type="noConversion"/>
  </si>
  <si>
    <t>Shows you the workloads, progresses, etc.</t>
    <phoneticPr fontId="1" type="noConversion"/>
  </si>
  <si>
    <t>AnalysisReport</t>
    <phoneticPr fontId="1" type="noConversion"/>
  </si>
  <si>
    <t>Shows you the progresses and workloads of the project by weeks, months, and resources.</t>
    <phoneticPr fontId="1" type="noConversion"/>
  </si>
  <si>
    <t>Calendar</t>
    <phoneticPr fontId="1" type="noConversion"/>
  </si>
  <si>
    <t>Sets nonworking days.</t>
    <phoneticPr fontId="1" type="noConversion"/>
  </si>
  <si>
    <t>Workload</t>
    <phoneticPr fontId="1" type="noConversion"/>
  </si>
  <si>
    <t>Makes workload data by weekly and monthly. You can do analysis as you want by using Excel features such as pivot.</t>
    <phoneticPr fontId="1" type="noConversion"/>
  </si>
  <si>
    <t>TranslatedLanguages</t>
    <phoneticPr fontId="1" type="noConversion"/>
  </si>
  <si>
    <t>(Hidden sheet) Contains language-specific translations.</t>
    <phoneticPr fontId="1" type="noConversion"/>
  </si>
  <si>
    <t>How to use</t>
    <phoneticPr fontId="15" type="noConversion"/>
  </si>
  <si>
    <t>Getting Started With XLGantt</t>
    <phoneticPr fontId="1" type="noConversion"/>
  </si>
  <si>
    <t>If you want to learn the features quickly and easily, see the "Getting Started With XLGantt".</t>
    <phoneticPr fontId="1" type="noConversion"/>
  </si>
  <si>
    <t>Help</t>
    <phoneticPr fontId="1" type="noConversion"/>
  </si>
  <si>
    <t>Task input, schedule update</t>
    <phoneticPr fontId="1" type="noConversion"/>
  </si>
  <si>
    <t>When you enter task names, start and finish dates, and %work complete values, XLGantt automatically calculates the tasks durations, planned %work complete values.</t>
    <phoneticPr fontId="1" type="noConversion"/>
  </si>
  <si>
    <t>Setting Gantt chart display style</t>
    <phoneticPr fontId="1" type="noConversion"/>
  </si>
  <si>
    <t>You can click the "Options" button on the ribbon to customize a Gantt chart style.</t>
    <phoneticPr fontId="1" type="noConversion"/>
  </si>
  <si>
    <t>Keeping track of project progress</t>
    <phoneticPr fontId="1" type="noConversion"/>
  </si>
  <si>
    <t>You can use %work complete to keep track of the progress of the project.</t>
    <phoneticPr fontId="1" type="noConversion"/>
  </si>
  <si>
    <t>Analysis report</t>
    <phoneticPr fontId="1" type="noConversion"/>
  </si>
  <si>
    <t>Provides you with analytical reports such as progress, workload, and workload data for tracking the status of your project.</t>
    <phoneticPr fontId="1" type="noConversion"/>
  </si>
  <si>
    <t>Schedule change</t>
    <phoneticPr fontId="1" type="noConversion"/>
  </si>
  <si>
    <t>Manages the planned schedule and actual schedule of the project.</t>
    <phoneticPr fontId="1" type="noConversion"/>
  </si>
  <si>
    <t>Deliverables</t>
    <phoneticPr fontId="1" type="noConversion"/>
  </si>
  <si>
    <t>Specifies the save path of the deliverables and open the deliverables.</t>
    <phoneticPr fontId="1" type="noConversion"/>
  </si>
  <si>
    <t>Adding Tasks to Microsoft Outlook Calendar</t>
    <phoneticPr fontId="1" type="noConversion"/>
  </si>
  <si>
    <t>Adds tasks to the Outlook calendar(You must have Microsoft Outlook installed on your PC).</t>
    <phoneticPr fontId="1" type="noConversion"/>
  </si>
  <si>
    <t>Multilingual Support</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</si>
  <si>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</si>
  <si>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Importing Schedules from Another File</t>
    <phoneticPr fontId="1" type="noConversion"/>
  </si>
  <si>
    <t>Imports schedules into XLGantt. You can import the schedules by mapping the fields.</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</si>
  <si>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</si>
  <si>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Integration with Excel Features</t>
    <phoneticPr fontId="1" type="noConversion"/>
  </si>
  <si>
    <t>You can include the formulas and functions of the Excel in XLGantt.</t>
    <phoneticPr fontId="1" type="noConversion"/>
  </si>
  <si>
    <t>Workload Calculation</t>
    <phoneticPr fontId="1" type="noConversion"/>
  </si>
  <si>
    <t>You can select the workload calculation method.</t>
    <phoneticPr fontId="1" type="noConversion"/>
  </si>
  <si>
    <t>Setting WBS Area and Color Theme</t>
    <phoneticPr fontId="1" type="noConversion"/>
  </si>
  <si>
    <t>You can set the appearance and color of the XLGantt.</t>
    <phoneticPr fontId="1" type="noConversion"/>
  </si>
  <si>
    <t>Setting Task Dependencies</t>
    <phoneticPr fontId="1" type="noConversion"/>
  </si>
  <si>
    <t>You can set the Task Dependencies(FS,SS,FF,SF).</t>
    <phoneticPr fontId="1" type="noConversion"/>
  </si>
  <si>
    <t>XLGantt Version 5.0.0 Terms of Use</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</si>
  <si>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</si>
  <si>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r>
      <t xml:space="preserve">XLGantt 5.0.0 ©XLWorks </t>
    </r>
    <r>
      <rPr>
        <b/>
        <sz val="9"/>
        <color rgb="FFFF8800"/>
        <rFont val="Calibri"/>
        <family val="2"/>
      </rPr>
      <t xml:space="preserve"> Weekly view, Zoom 100%, Calculation Options : Automatic</t>
    </r>
  </si>
  <si>
    <t>W1</t>
  </si>
  <si>
    <t>W5</t>
  </si>
  <si>
    <t>W9</t>
  </si>
  <si>
    <t>W13</t>
  </si>
  <si>
    <t>reserved</t>
  </si>
  <si>
    <t>task_group</t>
  </si>
  <si>
    <t>wbs_level</t>
  </si>
  <si>
    <t>WBS</t>
  </si>
  <si>
    <t>Task*</t>
  </si>
  <si>
    <t>Note</t>
  </si>
  <si>
    <t>Start*</t>
  </si>
  <si>
    <t>Finish*</t>
  </si>
  <si>
    <t>Calendar</t>
  </si>
  <si>
    <t>Total_x000D_
Work</t>
  </si>
  <si>
    <t>Planned_x000D_
Work</t>
  </si>
  <si>
    <t>Total_x000D_
Duration</t>
  </si>
  <si>
    <t>Planned_x000D_
Duration</t>
  </si>
  <si>
    <t>Actual_x000D_
Start</t>
  </si>
  <si>
    <t>Actual_x000D_
Finish</t>
  </si>
  <si>
    <t>Actual_x000D_
Total Duration</t>
  </si>
  <si>
    <t>Weight</t>
  </si>
  <si>
    <t>Resources</t>
  </si>
  <si>
    <t>Deliverables</t>
  </si>
  <si>
    <t>Planned_x000D_
%Work Complete</t>
  </si>
  <si>
    <t>%Work_x000D_
Complete*</t>
  </si>
  <si>
    <t>09/29
W40</t>
  </si>
  <si>
    <t>10/27
W44</t>
  </si>
  <si>
    <t>11/24
W48</t>
  </si>
  <si>
    <t>12/22
W52</t>
  </si>
  <si>
    <t>G</t>
  </si>
  <si>
    <t>1</t>
  </si>
  <si>
    <t>1.1</t>
  </si>
  <si>
    <t>PLANNING</t>
  </si>
  <si>
    <t>1.1.1</t>
  </si>
  <si>
    <t>Project Management Methodology</t>
  </si>
  <si>
    <t>1.1.2</t>
  </si>
  <si>
    <t>Project Organization &amp; Management</t>
  </si>
  <si>
    <t>1.1.3</t>
  </si>
  <si>
    <t>Roles and Responsibilities (R&amp;R)</t>
  </si>
  <si>
    <t>1.1.4</t>
  </si>
  <si>
    <t>Tool Setup</t>
  </si>
  <si>
    <t>1.1.4.1</t>
  </si>
  <si>
    <t>Request account to access current system, source code, database</t>
  </si>
  <si>
    <t>1.1.4.2</t>
  </si>
  <si>
    <t>1.1.4.3</t>
  </si>
  <si>
    <t>Setup  team channel &amp; sharepoint workspace for communication &amp; document</t>
  </si>
  <si>
    <t>1.1.4.4</t>
  </si>
  <si>
    <t>Setup Wire-Wiki for communication and documentation</t>
  </si>
  <si>
    <t>1.1.4.5</t>
  </si>
  <si>
    <t xml:space="preserve">Setup Wire-Work for work monitoring </t>
  </si>
  <si>
    <t>1.1.5</t>
  </si>
  <si>
    <t xml:space="preserve">Master WBS </t>
  </si>
  <si>
    <t>1.1.6</t>
  </si>
  <si>
    <t>Kick-off meeting</t>
  </si>
  <si>
    <t>1.1.6.1</t>
  </si>
  <si>
    <t>1.1.6.2</t>
  </si>
  <si>
    <t>Kick-off meeting notes</t>
  </si>
  <si>
    <t>1.2</t>
  </si>
  <si>
    <t>ANALYSIS</t>
  </si>
  <si>
    <t>1.2.1</t>
  </si>
  <si>
    <t>1.2.1.1</t>
  </si>
  <si>
    <t>1.2.1.2</t>
  </si>
  <si>
    <t>Design document Analyst</t>
  </si>
  <si>
    <t>1.2.2</t>
  </si>
  <si>
    <t>Requirement analysis (TO-BE)</t>
  </si>
  <si>
    <t>1.2.2.1</t>
  </si>
  <si>
    <t>Requirement Analyst</t>
  </si>
  <si>
    <t>1.2.2.2</t>
  </si>
  <si>
    <t>High level requirement</t>
  </si>
  <si>
    <t>1.2.2.3</t>
  </si>
  <si>
    <t>1.3</t>
  </si>
  <si>
    <t>BASIC DESIGN</t>
  </si>
  <si>
    <t>1.3.1</t>
  </si>
  <si>
    <t xml:space="preserve">UIUX high level design </t>
  </si>
  <si>
    <t>1.3.1.1</t>
  </si>
  <si>
    <t xml:space="preserve">Writing a screen definition </t>
  </si>
  <si>
    <t>1.3.1.2</t>
  </si>
  <si>
    <t>UIUX Design concept/ guide</t>
  </si>
  <si>
    <t>1.3.2</t>
  </si>
  <si>
    <t>Preparing for Agile Implementation</t>
  </si>
  <si>
    <t>1.3.2.1</t>
  </si>
  <si>
    <t>Agile training</t>
  </si>
  <si>
    <t>1.3.2.2</t>
  </si>
  <si>
    <t>Wire-work flow</t>
  </si>
  <si>
    <t>1.3.3</t>
  </si>
  <si>
    <t>Sprint #0</t>
  </si>
  <si>
    <t>1.3.3.1</t>
  </si>
  <si>
    <t>Detail Design</t>
  </si>
  <si>
    <t>1.3.3.1.1</t>
  </si>
  <si>
    <t>1.3.3.2</t>
  </si>
  <si>
    <t>Development environment setup</t>
  </si>
  <si>
    <t>1.3.3.3</t>
  </si>
  <si>
    <t>Development data setup</t>
  </si>
  <si>
    <t>https://lgcns.sharepoint.com/:f:/s/o365m_63000012/EjW5EslNKe9DlcVSXCHSV4YBQZUJlJRMKzyBhWfB7ZJ6cw?e=3uU0dj</t>
  </si>
  <si>
    <t>1.3.3.4</t>
  </si>
  <si>
    <t>SW Architecture Design</t>
  </si>
  <si>
    <t>No change</t>
  </si>
  <si>
    <t>1.3.3.5</t>
  </si>
  <si>
    <t>Project base development</t>
  </si>
  <si>
    <t>Source on git</t>
  </si>
  <si>
    <t>1.3.3.6</t>
  </si>
  <si>
    <t>Development standards finalization</t>
  </si>
  <si>
    <t>Development environment setup guide</t>
  </si>
  <si>
    <t>https://wire.lgcns.com/confluence/pages/viewpage.action?pageId=1026129949</t>
  </si>
  <si>
    <t>Coding standard guide</t>
  </si>
  <si>
    <t>Review and comment process</t>
  </si>
  <si>
    <t>1.3.3.7</t>
  </si>
  <si>
    <t>Pilot development</t>
  </si>
  <si>
    <t>API get list content: Feature/PP10201014-44</t>
  </si>
  <si>
    <t>1.3.3.8</t>
  </si>
  <si>
    <t>Sprint #0 Review</t>
  </si>
  <si>
    <t>1.3.3.9</t>
  </si>
  <si>
    <t>Sprint #0 Retrospective</t>
  </si>
  <si>
    <t>1.4</t>
  </si>
  <si>
    <t>DETAIL DESIGN/ DEVELOPMENT</t>
  </si>
  <si>
    <t>1.4.1</t>
  </si>
  <si>
    <t>Sprint#1</t>
  </si>
  <si>
    <t>1.4.1.1</t>
  </si>
  <si>
    <t>Sprint (Re)planning</t>
  </si>
  <si>
    <t>1.4.1.2</t>
  </si>
  <si>
    <t>Backlog Refinement</t>
  </si>
  <si>
    <t>1.4.1.3</t>
  </si>
  <si>
    <t>1.4.1.3.1</t>
  </si>
  <si>
    <t>Sprint#1 screen design update(if any)</t>
  </si>
  <si>
    <t>1.4.1.3.2</t>
  </si>
  <si>
    <t>Sprint#2 screen design</t>
  </si>
  <si>
    <t>1.4.1.4</t>
  </si>
  <si>
    <t>Development</t>
  </si>
  <si>
    <t>Development, UT, 3rd Test, Code review</t>
  </si>
  <si>
    <t>1.4.1.4.1</t>
  </si>
  <si>
    <t>CMS020402 Content creation</t>
  </si>
  <si>
    <t>1.4.1.4.2</t>
  </si>
  <si>
    <t>CMS020401 Content list</t>
  </si>
  <si>
    <t>1.4.1.4.3</t>
  </si>
  <si>
    <t>CMS020404 Content detail</t>
  </si>
  <si>
    <t>1.4.1.4.4</t>
  </si>
  <si>
    <t>CMS020403 Content update</t>
  </si>
  <si>
    <t>1.4.1.5</t>
  </si>
  <si>
    <t>Sprint Review</t>
  </si>
  <si>
    <t>1.4.1.6</t>
  </si>
  <si>
    <t>Sprint Retrospective</t>
  </si>
  <si>
    <t>1.4.2</t>
  </si>
  <si>
    <t>Sprint#2</t>
  </si>
  <si>
    <t>1.4.2.1</t>
  </si>
  <si>
    <t>1.4.2.2</t>
  </si>
  <si>
    <t>1.4.2.3</t>
  </si>
  <si>
    <t>1.4.2.3.1</t>
  </si>
  <si>
    <t>Sprint#2 screen design update(if any)</t>
  </si>
  <si>
    <t>1.4.2.3.2</t>
  </si>
  <si>
    <t>Sprint#3 screen design</t>
  </si>
  <si>
    <t>1.4.2.4</t>
  </si>
  <si>
    <t>1.4.2.4.1</t>
  </si>
  <si>
    <t>1.4.2.4.2</t>
  </si>
  <si>
    <t>1.4.2.4.3</t>
  </si>
  <si>
    <t>CMS020801 Approval  list</t>
  </si>
  <si>
    <t>CMS020802 Requested list</t>
  </si>
  <si>
    <t>1.4.2.4.4</t>
  </si>
  <si>
    <t>CMS020601 Content approval configuration</t>
  </si>
  <si>
    <t>1.4.2.4.5</t>
  </si>
  <si>
    <t>CMS040101 Content property configuration</t>
  </si>
  <si>
    <t>1.4.2.4.6</t>
  </si>
  <si>
    <t>1.4.2.4.7</t>
  </si>
  <si>
    <t>CMS020405 Content history verison</t>
  </si>
  <si>
    <t>1.4.2.4.8</t>
  </si>
  <si>
    <t>CMS020101 Hashtag list</t>
  </si>
  <si>
    <t>1.4.2.4.9</t>
  </si>
  <si>
    <t>CMS020102 Hashtag CRUD</t>
  </si>
  <si>
    <t>1.4.2.4.10</t>
  </si>
  <si>
    <t>CMS020201 Product list</t>
  </si>
  <si>
    <t>Cancel</t>
  </si>
  <si>
    <t>1.4.2.4.11</t>
  </si>
  <si>
    <t>CMS020202 Product CRUD</t>
  </si>
  <si>
    <t>1.4.2.5</t>
  </si>
  <si>
    <t>18/11/2024</t>
  </si>
  <si>
    <t>1.4.2.6</t>
  </si>
  <si>
    <t>1.4.3</t>
  </si>
  <si>
    <t>Sprint#3</t>
  </si>
  <si>
    <t>1.4.3.1</t>
  </si>
  <si>
    <t>1.4.3.2</t>
  </si>
  <si>
    <t>1.4.3.3</t>
  </si>
  <si>
    <t>1.4.3.3.1</t>
  </si>
  <si>
    <t>Sprint#3 screen design update(if any)</t>
  </si>
  <si>
    <t>1.4.3.3.2</t>
  </si>
  <si>
    <t>Sprint#4 screen design</t>
  </si>
  <si>
    <t>1.4.3.4</t>
  </si>
  <si>
    <t>1.4.3.4.1</t>
  </si>
  <si>
    <t>CMS010201 Permission list</t>
  </si>
  <si>
    <t>1.4.3.4.2</t>
  </si>
  <si>
    <t>CMS010202 Permission CRUD</t>
  </si>
  <si>
    <t>1.4.3.4.3</t>
  </si>
  <si>
    <t>CMS010401 Menu list</t>
  </si>
  <si>
    <t>1.4.3.4.4</t>
  </si>
  <si>
    <t>CMS010402 Menu CRUD</t>
  </si>
  <si>
    <t>1.4.3.4.5</t>
  </si>
  <si>
    <t>CMS010301 Role list</t>
  </si>
  <si>
    <t>1.4.3.4.6</t>
  </si>
  <si>
    <t>CMS010302 Role CRUD</t>
  </si>
  <si>
    <t>1.4.3.4.7</t>
  </si>
  <si>
    <t>CMS010101 Group user list</t>
  </si>
  <si>
    <t>1.4.3.4.8</t>
  </si>
  <si>
    <t>CMS010102 Group user CRUD</t>
  </si>
  <si>
    <t>1.4.3.4.9</t>
  </si>
  <si>
    <t>CMS020501 Content preview</t>
  </si>
  <si>
    <t>CMS020502 Content demo</t>
  </si>
  <si>
    <t>1.4.3.5</t>
  </si>
  <si>
    <t>1.4.3.6</t>
  </si>
  <si>
    <t>1.4.4</t>
  </si>
  <si>
    <t>Sprint#4</t>
  </si>
  <si>
    <t>1.4.4.1</t>
  </si>
  <si>
    <t>1.4.4.2</t>
  </si>
  <si>
    <t>1.4.4.3</t>
  </si>
  <si>
    <t>1.4.4.3.1</t>
  </si>
  <si>
    <t>Sprint#4 screen design update(if any)</t>
  </si>
  <si>
    <t>1.4.4.4</t>
  </si>
  <si>
    <t>1.4.4.4.1</t>
  </si>
  <si>
    <t>CMS020301 Category list</t>
  </si>
  <si>
    <t>1.4.4.4.2</t>
  </si>
  <si>
    <t>CMS020302 Category CRUD</t>
  </si>
  <si>
    <t>1.4.4.4.3</t>
  </si>
  <si>
    <t>CMS050101 Audit log</t>
  </si>
  <si>
    <t>1.4.4.4.4</t>
  </si>
  <si>
    <t>CMS020701 Email template list</t>
  </si>
  <si>
    <t>1.4.4.4.5</t>
  </si>
  <si>
    <t>CMS020702 Email template CRUD</t>
  </si>
  <si>
    <t>1.4.4.4.6</t>
  </si>
  <si>
    <t>CMS030101 Dasboard</t>
  </si>
  <si>
    <t>1.4.4.4.7</t>
  </si>
  <si>
    <t>CMS020406 Streaming video</t>
  </si>
  <si>
    <t>1.4.4.5</t>
  </si>
  <si>
    <t>1.4.4.6</t>
  </si>
  <si>
    <t>1.4.5</t>
  </si>
  <si>
    <t>PREPARING FOR INTEGRATION TEST</t>
  </si>
  <si>
    <t>1.4.5.1</t>
  </si>
  <si>
    <t>Create Integration test scenario</t>
  </si>
  <si>
    <t>1.4.5.2</t>
  </si>
  <si>
    <t>Preparing an integrated verification environment</t>
  </si>
  <si>
    <t>1.5</t>
  </si>
  <si>
    <t>INTEGRATION TESTING</t>
  </si>
  <si>
    <t>1.5.1</t>
  </si>
  <si>
    <t>Integration test</t>
  </si>
  <si>
    <t>1.5.1.1</t>
  </si>
  <si>
    <t>1.5.1.2</t>
  </si>
  <si>
    <t>Reflect feedback after intergration test</t>
  </si>
  <si>
    <t>1.6</t>
  </si>
  <si>
    <t>DELIVERY</t>
  </si>
  <si>
    <t>1.6.1</t>
  </si>
  <si>
    <t>Delivery</t>
  </si>
  <si>
    <t>1.6.1.1</t>
  </si>
  <si>
    <t>Go-live</t>
  </si>
  <si>
    <t>1.6.1.2</t>
  </si>
  <si>
    <t>Stability monitoring</t>
  </si>
  <si>
    <t>1.6.1.3</t>
  </si>
  <si>
    <t>Documentation</t>
  </si>
  <si>
    <t>1.6.1.4</t>
  </si>
  <si>
    <t>Completion report</t>
  </si>
  <si>
    <t>Project Progress - When not managing schedule changes</t>
  </si>
  <si>
    <t>* This sheet shows you workload and %Work complete.</t>
    <phoneticPr fontId="3" type="noConversion"/>
  </si>
  <si>
    <t>* Automactically calulated if you click the "Update Schedule" button</t>
    <phoneticPr fontId="3" type="noConversion"/>
  </si>
  <si>
    <t>Total workload of the project</t>
    <phoneticPr fontId="3" type="noConversion"/>
  </si>
  <si>
    <t>Man/Day</t>
    <phoneticPr fontId="3" type="noConversion"/>
  </si>
  <si>
    <t>Display the total workload of the project</t>
    <phoneticPr fontId="3" type="noConversion"/>
  </si>
  <si>
    <t>Planned workload</t>
    <phoneticPr fontId="3" type="noConversion"/>
  </si>
  <si>
    <t>Planned workload from the start date to the current date</t>
    <phoneticPr fontId="3" type="noConversion"/>
  </si>
  <si>
    <t>Earned value on planned schedule</t>
  </si>
  <si>
    <t>Earned value on planned schedule(Total Duration x %Work Complete)</t>
  </si>
  <si>
    <t>Actually performed workload</t>
    <phoneticPr fontId="3" type="noConversion"/>
  </si>
  <si>
    <t>Actually Performed workload when managing schedule changes</t>
    <phoneticPr fontId="3" type="noConversion"/>
  </si>
  <si>
    <t>Planned %Work Complete(A)</t>
    <phoneticPr fontId="3" type="noConversion"/>
  </si>
  <si>
    <t>Planned %Work Complete from the start date to the current date</t>
    <phoneticPr fontId="3" type="noConversion"/>
  </si>
  <si>
    <t>%Work Complete(B)</t>
    <phoneticPr fontId="3" type="noConversion"/>
  </si>
  <si>
    <t>Actual %Work Complete from the start date to the current date</t>
    <phoneticPr fontId="3" type="noConversion"/>
  </si>
  <si>
    <t>Schedule Variance(B-A)</t>
    <phoneticPr fontId="3" type="noConversion"/>
  </si>
  <si>
    <t>Positive - ahead of schedule, Negative - behind schedule</t>
    <phoneticPr fontId="3" type="noConversion"/>
  </si>
  <si>
    <t>Project Progresses by Weeks</t>
  </si>
  <si>
    <t>* This sheet shows you project progresses by weeks.</t>
  </si>
  <si>
    <t>* You need to click the "Progress by Weeks" button to update the contents.</t>
  </si>
  <si>
    <t>Start</t>
  </si>
  <si>
    <t>Finish</t>
  </si>
  <si>
    <t>Planned Workload(Man-Day)</t>
  </si>
  <si>
    <t>Planned Workload Accumulated(Man-Day)</t>
  </si>
  <si>
    <t>Planned Workload Progress</t>
  </si>
  <si>
    <t>Earned Value(Man-Day)</t>
  </si>
  <si>
    <t>Earned Value Accumulated(Man-Day)</t>
  </si>
  <si>
    <t>Earned Value Progress</t>
  </si>
  <si>
    <t>Actual Workload(Man-Day)</t>
  </si>
  <si>
    <t>Actual Workload Accumulated(Man-Day)</t>
  </si>
  <si>
    <t>Actual Workload Progress</t>
  </si>
  <si>
    <t>Total</t>
  </si>
  <si>
    <t xml:space="preserve"> Setting nonworking days in the project calendar</t>
    <phoneticPr fontId="3" type="noConversion"/>
  </si>
  <si>
    <t>Please enter nonworking days only. All days other than nonworking days will be set as working days. _x000D_
When you enter nonworking days, XLGantt excludes them from calculations of working time._x000D_
(However, depending on the calendar setting in the Options window, the calculation method of the nonworking day can be different)_x000D_
Standard calendar is the default calendar. If you want to specify a different calendar for a specific task, please use "User Defined Calendar 1" or "User Defined Calendar 2"</t>
    <phoneticPr fontId="3" type="noConversion"/>
  </si>
  <si>
    <t>Standard Calendar</t>
    <phoneticPr fontId="3" type="noConversion"/>
  </si>
  <si>
    <t>User Defined Calendar 1</t>
    <phoneticPr fontId="3" type="noConversion"/>
  </si>
  <si>
    <t>User Defined Calendar 2</t>
    <phoneticPr fontId="3" type="noConversion"/>
  </si>
  <si>
    <t>Name of Nonworking Days</t>
    <phoneticPr fontId="3" type="noConversion"/>
  </si>
  <si>
    <t>Nonworking Days</t>
    <phoneticPr fontId="3" type="noConversion"/>
  </si>
  <si>
    <t>You can not enter any more.</t>
    <phoneticPr fontId="3" type="noConversion"/>
  </si>
  <si>
    <t>Reserved</t>
    <phoneticPr fontId="3" type="noConversion"/>
  </si>
  <si>
    <t>Text Index</t>
    <phoneticPr fontId="3" type="noConversion"/>
  </si>
  <si>
    <t>Description</t>
    <phoneticPr fontId="3" type="noConversion"/>
  </si>
  <si>
    <t>English</t>
  </si>
  <si>
    <t>Korean</t>
  </si>
  <si>
    <t>Custom</t>
  </si>
  <si>
    <t>F</t>
    <phoneticPr fontId="1" type="noConversion"/>
  </si>
  <si>
    <t>reserved index</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</si>
  <si>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</si>
  <si>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</si>
  <si>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</si>
  <si>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</si>
  <si>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</si>
  <si>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</si>
  <si>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</si>
  <si>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</si>
  <si>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1" type="noConversion"/>
  </si>
  <si>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</si>
  <si>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</si>
  <si>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</si>
  <si>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t>Saturdays, Sundays and the dates entered in the Calendar sheet_x000D_</t>
    <phoneticPr fontId="1" type="noConversion"/>
  </si>
  <si>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</si>
  <si>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t>reserved index, for help sheet</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</si>
  <si>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</si>
  <si>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</si>
  <si>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</si>
  <si>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</si>
  <si>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</si>
  <si>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</si>
  <si>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</si>
  <si>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Program error has occurred, this error can occur because of the following:\n\n1. An incorrect value was entered in the Schedule sheet (eg, a value beginning with an equal sign (=) was entered except in the date field).\n\n2. {1}</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</si>
  <si>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</si>
  <si>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t>Program error has occurred.\n\n{1}\nError code:{2}\n\nIf this program file is stored in a cloud storage such as Microsoft OneDrive, move it to a local drive on your PC and use it.</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</si>
  <si>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</si>
  <si>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t>Program error has occurred.\n\n{1}\nError code:{2}</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</si>
  <si>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</si>
  <si>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t xml:space="preserve">              From                      To</t>
  </si>
  <si>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</si>
  <si>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t xml:space="preserve">           Field Name         Example</t>
  </si>
  <si>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</si>
  <si>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t xml:space="preserve">       Field Name           Field Value</t>
  </si>
  <si>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</si>
  <si>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t xml:space="preserve"> Mapped</t>
  </si>
  <si>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</si>
  <si>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t xml:space="preserve"> Setting nonworking days in the project calendar</t>
  </si>
  <si>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</si>
  <si>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t>"%Work Complete" is invalid. Type a number between 0% and 100%.</t>
  </si>
  <si>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</si>
  <si>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t>"Outline level"(task Level) field. It displays the level of a task.Instead of "Outline level", you can use "WBS".</t>
  </si>
  <si>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</si>
  <si>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</si>
  <si>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</si>
  <si>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t>%Work Complete</t>
  </si>
  <si>
    <r>
      <rPr>
        <sz val="9"/>
        <color theme="1"/>
        <rFont val="맑은 고딕"/>
        <family val="3"/>
        <charset val="129"/>
      </rPr>
      <t>실적진척율</t>
    </r>
  </si>
  <si>
    <t>%Work Complete(B)</t>
  </si>
  <si>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</si>
  <si>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t>%Work Complete(C/A)</t>
  </si>
  <si>
    <r>
      <rPr>
        <sz val="9"/>
        <color theme="1"/>
        <rFont val="맑은 고딕"/>
        <family val="3"/>
        <charset val="129"/>
      </rPr>
      <t>실적</t>
    </r>
    <r>
      <rPr>
        <sz val="9"/>
        <color theme="1"/>
        <rFont val="Calibri"/>
        <family val="2"/>
      </rPr>
      <t>(C/A)</t>
    </r>
  </si>
  <si>
    <t>for import columun</t>
    <phoneticPr fontId="3" type="noConversion"/>
  </si>
  <si>
    <t>%Work__Complete</t>
    <phoneticPr fontId="3" type="noConversion"/>
  </si>
  <si>
    <r>
      <rPr>
        <sz val="9"/>
        <color theme="1"/>
        <rFont val="맑은 고딕"/>
        <family val="3"/>
        <charset val="129"/>
      </rPr>
      <t>실적</t>
    </r>
  </si>
  <si>
    <t>%Work\nComplete</t>
  </si>
  <si>
    <t>for help sheet</t>
    <phoneticPr fontId="1" type="noConversion"/>
  </si>
  <si>
    <t>(Hidden sheet) Contains language-specific translations.</t>
  </si>
  <si>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</si>
  <si>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t>(Resources unspecified)</t>
    <phoneticPr fontId="1" type="noConversion"/>
  </si>
  <si>
    <r>
      <t>(</t>
    </r>
    <r>
      <rPr>
        <sz val="9"/>
        <color theme="1"/>
        <rFont val="맑은 고딕"/>
        <family val="3"/>
        <charset val="129"/>
      </rPr>
      <t>담당자미지정</t>
    </r>
    <r>
      <rPr>
        <sz val="9"/>
        <color theme="1"/>
        <rFont val="Calibri"/>
        <family val="2"/>
      </rPr>
      <t>)</t>
    </r>
    <phoneticPr fontId="1" type="noConversion"/>
  </si>
  <si>
    <t>* Automactically calulated if you click the "Update Schedule" button</t>
  </si>
  <si>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</si>
  <si>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t>* Choose a language</t>
  </si>
  <si>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</si>
  <si>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t>* Common Excel file, Not XLGantt file\n   (First row is title,from second rows are contents)\n* You can import only one file at once.</t>
  </si>
  <si>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</si>
  <si>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t>* This sheet shows you project progresses by months.</t>
    <phoneticPr fontId="1" type="noConversion"/>
  </si>
  <si>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</si>
  <si>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t>* This sheet shows you project progresses by weeks.</t>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</si>
  <si>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</si>
  <si>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t>* This sheet shows you tasks, workloads, progresses(%Work complete), etc by resources.</t>
  </si>
  <si>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</si>
  <si>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allocations by resources.</t>
  </si>
  <si>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</si>
  <si>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allocations by weeks or months.</t>
  </si>
  <si>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</si>
  <si>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and %Work complete.</t>
  </si>
  <si>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</si>
  <si>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t>* You need to click the "Progress by Months" button to update the contents.</t>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</si>
  <si>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</si>
  <si>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t>* You need to click the "Progress by Weeks" button to update the contents.</t>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</si>
  <si>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</si>
  <si>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t>* You need to click the "Progresses by Resources" button to update contents.</t>
  </si>
  <si>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</si>
  <si>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You need to click the "Workloads by Resources" button to update the contents.</t>
  </si>
  <si>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</si>
  <si>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You need to click the "Workloads by Weeks" or "Workloads by Months" button to update the contents.</t>
  </si>
  <si>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</si>
  <si>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"Outlook Appointment(s)" have been added.</t>
  </si>
  <si>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</si>
  <si>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t>{} "Outlook Task(s)" have been added.</t>
  </si>
  <si>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</si>
  <si>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t>{} file does not exist.</t>
  </si>
  <si>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</si>
  <si>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t>&lt;&lt; Remove</t>
    <phoneticPr fontId="1" type="noConversion"/>
  </si>
  <si>
    <r>
      <t xml:space="preserve">&lt;&lt; </t>
    </r>
    <r>
      <rPr>
        <sz val="9"/>
        <color theme="1"/>
        <rFont val="맑은 고딕"/>
        <family val="3"/>
        <charset val="129"/>
      </rPr>
      <t>제거</t>
    </r>
  </si>
  <si>
    <t>&lt;&lt; Unmap</t>
    <phoneticPr fontId="1" type="noConversion"/>
  </si>
  <si>
    <r>
      <t>&lt;&lt; Mapping</t>
    </r>
    <r>
      <rPr>
        <sz val="9"/>
        <color theme="1"/>
        <rFont val="맑은 고딕"/>
        <family val="3"/>
        <charset val="129"/>
      </rPr>
      <t>취소</t>
    </r>
  </si>
  <si>
    <t>12/1/2018</t>
    <phoneticPr fontId="1" type="noConversion"/>
  </si>
  <si>
    <t>12/31/2018</t>
  </si>
  <si>
    <t>About</t>
  </si>
  <si>
    <t>Accumulated\nMan-Day</t>
  </si>
  <si>
    <r>
      <rPr>
        <sz val="9"/>
        <color theme="1"/>
        <rFont val="맑은 고딕"/>
        <family val="3"/>
        <charset val="129"/>
      </rPr>
      <t>누적</t>
    </r>
    <r>
      <rPr>
        <sz val="9"/>
        <color theme="1"/>
        <rFont val="Calibri"/>
        <family val="2"/>
      </rPr>
      <t>\nMan-Day</t>
    </r>
  </si>
  <si>
    <t>manual input</t>
    <phoneticPr fontId="1" type="noConversion"/>
  </si>
  <si>
    <t>Actual</t>
    <phoneticPr fontId="1" type="noConversion"/>
  </si>
  <si>
    <r>
      <rPr>
        <sz val="9"/>
        <color theme="1"/>
        <rFont val="맑은 고딕"/>
        <family val="3"/>
        <charset val="129"/>
      </rPr>
      <t>실적</t>
    </r>
    <phoneticPr fontId="1" type="noConversion"/>
  </si>
  <si>
    <t>Actual %Complete is invalid. Enter a number only. Verify row {} of the source file.</t>
  </si>
  <si>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</si>
  <si>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%Work Complete from the start date to the current date</t>
  </si>
  <si>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</si>
  <si>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t>Actual Accumulated\nMan-Day</t>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</si>
  <si>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</si>
  <si>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t>for importOnStartup</t>
    <phoneticPr fontId="1" type="noConversion"/>
  </si>
  <si>
    <t>Actual Finish</t>
  </si>
  <si>
    <r>
      <rPr>
        <sz val="9"/>
        <color theme="1"/>
        <rFont val="맑은 고딕"/>
        <family val="3"/>
        <charset val="129"/>
      </rPr>
      <t>실제완료일</t>
    </r>
  </si>
  <si>
    <t>Actual Finish Date</t>
  </si>
  <si>
    <r>
      <rPr>
        <sz val="9"/>
        <color theme="1"/>
        <rFont val="맑은 고딕"/>
        <family val="3"/>
        <charset val="129"/>
      </rPr>
      <t>실제완료일자</t>
    </r>
  </si>
  <si>
    <t>Actual finish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</si>
  <si>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</si>
  <si>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Actual finish date is invalid.</t>
  </si>
  <si>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</si>
  <si>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Actual finish date is invalid. Verify row {} of the source file.</t>
  </si>
  <si>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</si>
  <si>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Man-Day</t>
    <phoneticPr fontId="1" type="noConversion"/>
  </si>
  <si>
    <r>
      <rPr>
        <sz val="9"/>
        <color theme="1"/>
        <rFont val="맑은 고딕"/>
        <family val="3"/>
        <charset val="129"/>
      </rPr>
      <t>실제</t>
    </r>
    <r>
      <rPr>
        <sz val="9"/>
        <color theme="1"/>
        <rFont val="Calibri"/>
        <family val="2"/>
      </rPr>
      <t xml:space="preserve"> Man-Day</t>
    </r>
    <phoneticPr fontId="1" type="noConversion"/>
  </si>
  <si>
    <t>Actual Progress</t>
    <phoneticPr fontId="1" type="noConversion"/>
  </si>
  <si>
    <r>
      <rPr>
        <sz val="9"/>
        <color theme="1"/>
        <rFont val="맑은 고딕"/>
        <family val="3"/>
        <charset val="129"/>
      </rPr>
      <t>실제진척율</t>
    </r>
    <phoneticPr fontId="1" type="noConversion"/>
  </si>
  <si>
    <t>Actual progress rate(%Work Complete) field.</t>
  </si>
  <si>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</si>
  <si>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t>Actual Start</t>
  </si>
  <si>
    <r>
      <rPr>
        <sz val="9"/>
        <color theme="1"/>
        <rFont val="맑은 고딕"/>
        <family val="3"/>
        <charset val="129"/>
      </rPr>
      <t>실제시작일</t>
    </r>
  </si>
  <si>
    <t>Actual Start Date</t>
  </si>
  <si>
    <r>
      <rPr>
        <sz val="9"/>
        <color theme="1"/>
        <rFont val="맑은 고딕"/>
        <family val="3"/>
        <charset val="129"/>
      </rPr>
      <t>실제시작일자</t>
    </r>
  </si>
  <si>
    <t>Actual start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</si>
  <si>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</si>
  <si>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Actual start date is invalid.</t>
  </si>
  <si>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</si>
  <si>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Actual start date is invalid. Verify row {} of the source file.</t>
  </si>
  <si>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</si>
  <si>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Total Duration</t>
  </si>
  <si>
    <r>
      <rPr>
        <sz val="9"/>
        <color theme="1"/>
        <rFont val="맑은 고딕"/>
        <family val="3"/>
        <charset val="129"/>
      </rPr>
      <t>실제총기간</t>
    </r>
  </si>
  <si>
    <t>Actual Total Work</t>
  </si>
  <si>
    <r>
      <rPr>
        <sz val="9"/>
        <color theme="1"/>
        <rFont val="맑은 고딕"/>
        <family val="3"/>
        <charset val="129"/>
      </rPr>
      <t>실제총작업량</t>
    </r>
  </si>
  <si>
    <t>Actual Total Work\nMan-day</t>
  </si>
  <si>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</si>
  <si>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t>Actual Total__Duration</t>
    <phoneticPr fontId="3"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</si>
  <si>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</si>
  <si>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t>Actual Total\nDuration</t>
  </si>
  <si>
    <r>
      <rPr>
        <sz val="9"/>
        <color theme="1"/>
        <rFont val="맑은 고딕"/>
        <family val="3"/>
        <charset val="129"/>
      </rPr>
      <t>실제</t>
    </r>
    <r>
      <rPr>
        <sz val="9"/>
        <color theme="1"/>
        <rFont val="Calibri"/>
        <family val="2"/>
      </rPr>
      <t>\n</t>
    </r>
    <r>
      <rPr>
        <sz val="9"/>
        <color theme="1"/>
        <rFont val="맑은 고딕"/>
        <family val="3"/>
        <charset val="129"/>
      </rPr>
      <t>총기간</t>
    </r>
  </si>
  <si>
    <t>Actual Total\nWork(Total\nManDay)</t>
  </si>
  <si>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</si>
  <si>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t>Actual Workload Accumulated(Man-Day)</t>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</si>
  <si>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</si>
  <si>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t>Actual Workload Progress</t>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</si>
  <si>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</si>
  <si>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t>Actual Workload(Man-Day)</t>
    <phoneticPr fontId="1" type="noConversion"/>
  </si>
  <si>
    <r>
      <rPr>
        <sz val="9"/>
        <color theme="1"/>
        <rFont val="맑은 고딕"/>
        <family val="3"/>
        <charset val="129"/>
      </rPr>
      <t>실제작업량</t>
    </r>
    <r>
      <rPr>
        <sz val="9"/>
        <color theme="1"/>
        <rFont val="Calibri"/>
        <family val="2"/>
      </rPr>
      <t>(Man-Day)</t>
    </r>
    <phoneticPr fontId="1" type="noConversion"/>
  </si>
  <si>
    <t>Actual__Finish</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</si>
  <si>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</si>
  <si>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t>Actual__Start</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</si>
  <si>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</si>
  <si>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t>Actual__Total Duration</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</si>
  <si>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</si>
  <si>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t>Actual__Total Work</t>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</si>
  <si>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</si>
  <si>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t>Actual\nFinish</t>
  </si>
  <si>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</si>
  <si>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t>Actual\nStart</t>
  </si>
  <si>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</si>
  <si>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t>Actual\nStart-Finish</t>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</si>
  <si>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</si>
  <si>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t>Actual\nTotal Duration</t>
  </si>
  <si>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</si>
  <si>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t>Actual\nTotal Work</t>
  </si>
  <si>
    <r>
      <rPr>
        <sz val="9"/>
        <color theme="1"/>
        <rFont val="맑은 고딕"/>
        <family val="3"/>
        <charset val="129"/>
      </rPr>
      <t>실제</t>
    </r>
    <r>
      <rPr>
        <sz val="9"/>
        <color theme="1"/>
        <rFont val="Calibri"/>
        <family val="2"/>
      </rPr>
      <t>\n</t>
    </r>
    <r>
      <rPr>
        <sz val="9"/>
        <color theme="1"/>
        <rFont val="맑은 고딕"/>
        <family val="3"/>
        <charset val="129"/>
      </rPr>
      <t>총작업량</t>
    </r>
  </si>
  <si>
    <t>Actually performed workload</t>
  </si>
  <si>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</si>
  <si>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t>Actually Performed workload when 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</si>
  <si>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</si>
  <si>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t>Actually performed workload when not managing schedule changes(Total Duration x %Work Complete)</t>
  </si>
  <si>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</si>
  <si>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t>Add &gt;&gt;</t>
  </si>
  <si>
    <r>
      <rPr>
        <sz val="9"/>
        <color theme="1"/>
        <rFont val="맑은 고딕"/>
        <family val="3"/>
        <charset val="129"/>
      </rPr>
      <t>추가</t>
    </r>
    <r>
      <rPr>
        <sz val="9"/>
        <color theme="1"/>
        <rFont val="Calibri"/>
        <family val="2"/>
      </rPr>
      <t xml:space="preserve"> &gt;&gt;</t>
    </r>
  </si>
  <si>
    <t>Add Languages</t>
  </si>
  <si>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</si>
  <si>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t>Add to MS Outlook Calendar</t>
  </si>
  <si>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</si>
  <si>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t>Add to MS Outlook Task</t>
  </si>
  <si>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</si>
  <si>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</si>
  <si>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</si>
  <si>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t>After turning off filtering, we'll proceed.</t>
  </si>
  <si>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</si>
  <si>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t>Ahead of schedule</t>
    <phoneticPr fontId="1" type="noConversion"/>
  </si>
  <si>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</si>
  <si>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t>All tasks</t>
  </si>
  <si>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</si>
  <si>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t>An error occurred while checking for updates. Please try again \nError Message: {}</t>
  </si>
  <si>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</si>
  <si>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t>An error occurred while checking XLGantt cell formats. Please restart XLGantt.</t>
  </si>
  <si>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</si>
  <si>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t>An error occurred while processing. Please check the messages below.</t>
  </si>
  <si>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</si>
  <si>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t>Analysis</t>
  </si>
  <si>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</si>
  <si>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</si>
  <si>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t>Appearance</t>
    <phoneticPr fontId="1" type="noConversion"/>
  </si>
  <si>
    <r>
      <rPr>
        <sz val="9"/>
        <color theme="1"/>
        <rFont val="맑은 고딕"/>
        <family val="3"/>
        <charset val="129"/>
      </rPr>
      <t>모양</t>
    </r>
    <phoneticPr fontId="1" type="noConversion"/>
  </si>
  <si>
    <t>Automatic</t>
    <phoneticPr fontId="1" type="noConversion"/>
  </si>
  <si>
    <r>
      <rPr>
        <sz val="9"/>
        <color theme="1"/>
        <rFont val="맑은 고딕"/>
        <family val="3"/>
        <charset val="129"/>
      </rPr>
      <t>자동</t>
    </r>
    <phoneticPr fontId="1" type="noConversion"/>
  </si>
  <si>
    <t>Automatic Except for Data Tables</t>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</si>
  <si>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</si>
  <si>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t>Automatically defined</t>
  </si>
  <si>
    <r>
      <rPr>
        <sz val="9"/>
        <color theme="1"/>
        <rFont val="맑은 고딕"/>
        <family val="3"/>
        <charset val="129"/>
      </rPr>
      <t>자동지정</t>
    </r>
  </si>
  <si>
    <t>Available Languages</t>
  </si>
  <si>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</si>
  <si>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t>Bar chart Text Display Position</t>
  </si>
  <si>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</si>
  <si>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t>Because the following task already has been added, XLGantt does not add it to "Outlook".\n\nTask Name : {1} \nDue Date : {2}</t>
  </si>
  <si>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</si>
  <si>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</si>
  <si>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</si>
  <si>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t>Behind schedule</t>
    <phoneticPr fontId="1" type="noConversion"/>
  </si>
  <si>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</si>
  <si>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t>blabla</t>
  </si>
  <si>
    <t>...</t>
  </si>
  <si>
    <t>Black &amp; White</t>
    <phoneticPr fontId="1" type="noConversion"/>
  </si>
  <si>
    <r>
      <rPr>
        <sz val="9"/>
        <color theme="1"/>
        <rFont val="맑은 고딕"/>
        <family val="3"/>
        <charset val="129"/>
      </rPr>
      <t>흑백</t>
    </r>
    <phoneticPr fontId="1" type="noConversion"/>
  </si>
  <si>
    <t>By %Work Complete</t>
  </si>
  <si>
    <r>
      <rPr>
        <sz val="9"/>
        <color theme="1"/>
        <rFont val="맑은 고딕"/>
        <family val="3"/>
        <charset val="129"/>
      </rPr>
      <t>완료율</t>
    </r>
  </si>
  <si>
    <t>By Duration</t>
  </si>
  <si>
    <r>
      <rPr>
        <sz val="9"/>
        <color theme="1"/>
        <rFont val="맑은 고딕"/>
        <family val="3"/>
        <charset val="129"/>
      </rPr>
      <t>기간</t>
    </r>
  </si>
  <si>
    <t>By Resource</t>
  </si>
  <si>
    <r>
      <rPr>
        <sz val="9"/>
        <color theme="1"/>
        <rFont val="맑은 고딕"/>
        <family val="3"/>
        <charset val="129"/>
      </rPr>
      <t>담당</t>
    </r>
    <phoneticPr fontId="1" type="noConversion"/>
  </si>
  <si>
    <t>by Resource Allocation Ratio</t>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</si>
  <si>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</si>
  <si>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t>by Weight</t>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</si>
  <si>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</si>
  <si>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t>Calculation Base Date of Planned %Work Complete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</si>
  <si>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</si>
  <si>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t>Calculation Base Date of Planned %Work Complete must be greater than or equal to project start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</si>
  <si>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</si>
  <si>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t>Calculation Base Date of Planned %Work Complete must be less than or equal to project finish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</si>
  <si>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</si>
  <si>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t>Calculation Options</t>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</si>
  <si>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</si>
  <si>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</si>
  <si>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t>Chart</t>
  </si>
  <si>
    <r>
      <rPr>
        <sz val="9"/>
        <color theme="1"/>
        <rFont val="맑은 고딕"/>
        <family val="3"/>
        <charset val="129"/>
      </rPr>
      <t>차트</t>
    </r>
  </si>
  <si>
    <t>Check for Updates</t>
  </si>
  <si>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</si>
  <si>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t xml:space="preserve">Check for Updates on Startup </t>
  </si>
  <si>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</si>
  <si>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t>Check if you save deliverables in specific directory</t>
  </si>
  <si>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</si>
  <si>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t>Choose a file type to import</t>
  </si>
  <si>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</si>
  <si>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t>Choose a language used in XLGantt</t>
  </si>
  <si>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</si>
  <si>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t>Choose a language used in XLGantt.</t>
  </si>
  <si>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</si>
  <si>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t>Choose a language.</t>
  </si>
  <si>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</si>
  <si>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t>Choose an import option.</t>
  </si>
  <si>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</si>
  <si>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t>Choose directly</t>
  </si>
  <si>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</si>
  <si>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t>Choose the Type of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</si>
  <si>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</si>
  <si>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t>Choose what to do after Importing Server Data</t>
    <phoneticPr fontId="1" type="noConversion"/>
  </si>
  <si>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</si>
  <si>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t>Close</t>
  </si>
  <si>
    <r>
      <rPr>
        <sz val="9"/>
        <color theme="1"/>
        <rFont val="맑은 고딕"/>
        <family val="3"/>
        <charset val="129"/>
      </rPr>
      <t>닫기</t>
    </r>
  </si>
  <si>
    <t>Color Theme</t>
    <phoneticPr fontId="1" type="noConversion"/>
  </si>
  <si>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</si>
  <si>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t>Completed(=100%)</t>
  </si>
  <si>
    <r>
      <rPr>
        <sz val="9"/>
        <color theme="1"/>
        <rFont val="맑은 고딕"/>
        <family val="3"/>
        <charset val="129"/>
      </rPr>
      <t>완료</t>
    </r>
  </si>
  <si>
    <t>Contains</t>
  </si>
  <si>
    <r>
      <rPr>
        <sz val="9"/>
        <color theme="1"/>
        <rFont val="맑은 고딕"/>
        <family val="3"/>
        <charset val="129"/>
      </rPr>
      <t>포함</t>
    </r>
  </si>
  <si>
    <t>Create Workload Data by Months</t>
  </si>
  <si>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</si>
  <si>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t>Create Workload Data by Weeks</t>
    <phoneticPr fontId="1" type="noConversion"/>
  </si>
  <si>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</si>
  <si>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t>Current Version</t>
  </si>
  <si>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</si>
  <si>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t>Custom</t>
    <phoneticPr fontId="1" type="noConversion"/>
  </si>
  <si>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</si>
  <si>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t>Daily</t>
  </si>
  <si>
    <r>
      <rPr>
        <sz val="9"/>
        <color theme="1"/>
        <rFont val="맑은 고딕"/>
        <family val="3"/>
        <charset val="129"/>
      </rPr>
      <t>일별</t>
    </r>
  </si>
  <si>
    <t>Daily view</t>
  </si>
  <si>
    <r>
      <rPr>
        <sz val="9"/>
        <color theme="1"/>
        <rFont val="맑은 고딕"/>
        <family val="3"/>
        <charset val="129"/>
      </rPr>
      <t>일별보기</t>
    </r>
  </si>
  <si>
    <t>Days (Average number of working days per month)</t>
  </si>
  <si>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</si>
  <si>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t xml:space="preserve">Days counted as Nonworking days </t>
  </si>
  <si>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</si>
  <si>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t>Default</t>
    <phoneticPr fontId="1" type="noConversion"/>
  </si>
  <si>
    <r>
      <rPr>
        <sz val="9"/>
        <color theme="1"/>
        <rFont val="맑은 고딕"/>
        <family val="3"/>
        <charset val="129"/>
      </rPr>
      <t>기본</t>
    </r>
    <phoneticPr fontId="1" type="noConversion"/>
  </si>
  <si>
    <r>
      <rPr>
        <sz val="9"/>
        <color theme="1"/>
        <rFont val="맑은 고딕"/>
        <family val="3"/>
        <charset val="129"/>
      </rPr>
      <t>산출물</t>
    </r>
  </si>
  <si>
    <t>Deliverables field.</t>
  </si>
  <si>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</si>
  <si>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t>Deliverables type is not selected</t>
  </si>
  <si>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</si>
  <si>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t>Display  % Work Complete</t>
  </si>
  <si>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</si>
  <si>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t>Display date</t>
  </si>
  <si>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</si>
  <si>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t>Display date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</si>
  <si>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</si>
  <si>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t>Display font color to gray for the completed tasks</t>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</si>
  <si>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</si>
  <si>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t>Display interior color to gray for the task groups</t>
    <phoneticPr fontId="1" type="noConversion"/>
  </si>
  <si>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</si>
  <si>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t>Display Planned %Work Complete</t>
  </si>
  <si>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</si>
  <si>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t>Display project week number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</si>
  <si>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</si>
  <si>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t>Display resource</t>
  </si>
  <si>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</si>
  <si>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t xml:space="preserve">Display task name </t>
  </si>
  <si>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</si>
  <si>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t>Display the task name in the same field</t>
  </si>
  <si>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</si>
  <si>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t>Display the total workload of the project</t>
  </si>
  <si>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</si>
  <si>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t>Display year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</si>
  <si>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</si>
  <si>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t>Displayed in %Work complete column</t>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</si>
  <si>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</si>
  <si>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t>Displays the task name in the different field for each level</t>
  </si>
  <si>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</si>
  <si>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t>Do not recalculate WBS area after import</t>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</si>
  <si>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</si>
  <si>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t>Download the latest version</t>
  </si>
  <si>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</si>
  <si>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t>Drawing Gantt chart</t>
  </si>
  <si>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</si>
  <si>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t>Drawing progress line</t>
  </si>
  <si>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</si>
  <si>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t xml:space="preserve">Duration </t>
  </si>
  <si>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</si>
  <si>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t>Earned Value Accumulated(Man-Day)</t>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</si>
  <si>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</si>
  <si>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t>Earned value on planned schedule</t>
    <phoneticPr fontId="1" type="noConversion"/>
  </si>
  <si>
    <r>
      <rPr>
        <sz val="9"/>
        <color theme="1"/>
        <rFont val="맑은 고딕"/>
        <family val="3"/>
        <charset val="129"/>
      </rPr>
      <t>실적기성</t>
    </r>
    <phoneticPr fontId="1" type="noConversion"/>
  </si>
  <si>
    <t>Earned value on planned schedule when managing schedule changes(Total Duration x %Work Complete)</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</si>
  <si>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</si>
  <si>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t>Earned value on planned schedule(Total Duration x %Work Complete)</t>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</si>
  <si>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</si>
  <si>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t>Earned Value Progress</t>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</si>
  <si>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</si>
  <si>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t>Earned Value(C)\nMan-day</t>
    <phoneticPr fontId="1" type="noConversion"/>
  </si>
  <si>
    <r>
      <rPr>
        <sz val="9"/>
        <color theme="1"/>
        <rFont val="맑은 고딕"/>
        <family val="3"/>
        <charset val="129"/>
      </rPr>
      <t>실적기성</t>
    </r>
    <r>
      <rPr>
        <sz val="9"/>
        <color theme="1"/>
        <rFont val="Calibri"/>
        <family val="2"/>
      </rPr>
      <t>( C )\nMan-day</t>
    </r>
    <phoneticPr fontId="1" type="noConversion"/>
  </si>
  <si>
    <t>Earned Value(Man-Day)</t>
    <phoneticPr fontId="1" type="noConversion"/>
  </si>
  <si>
    <r>
      <rPr>
        <sz val="9"/>
        <color theme="1"/>
        <rFont val="맑은 고딕"/>
        <family val="3"/>
        <charset val="129"/>
      </rPr>
      <t>실적기성</t>
    </r>
    <r>
      <rPr>
        <sz val="9"/>
        <color theme="1"/>
        <rFont val="Calibri"/>
        <family val="2"/>
      </rPr>
      <t>(Man-Day)</t>
    </r>
    <phoneticPr fontId="1" type="noConversion"/>
  </si>
  <si>
    <t>Edit a Task</t>
  </si>
  <si>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</si>
  <si>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t>Elsa,John[50%]</t>
    <phoneticPr fontId="1" type="noConversion"/>
  </si>
  <si>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</si>
  <si>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t>Enabled Languages</t>
  </si>
  <si>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</si>
  <si>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t>Equals</t>
  </si>
  <si>
    <r>
      <rPr>
        <sz val="9"/>
        <color theme="1"/>
        <rFont val="맑은 고딕"/>
        <family val="3"/>
        <charset val="129"/>
      </rPr>
      <t>같음</t>
    </r>
  </si>
  <si>
    <t>Error! Calculated Total Man-Day is different from the Total Man-Day of the {} sheet.</t>
  </si>
  <si>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</si>
  <si>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</si>
  <si>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</si>
  <si>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t>Error, Invalid field specified.</t>
  </si>
  <si>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</si>
  <si>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t>Etc</t>
  </si>
  <si>
    <r>
      <rPr>
        <sz val="9"/>
        <color theme="1"/>
        <rFont val="맑은 고딕"/>
        <family val="3"/>
        <charset val="129"/>
      </rPr>
      <t>기타</t>
    </r>
    <phoneticPr fontId="1" type="noConversion"/>
  </si>
  <si>
    <t>Excel</t>
  </si>
  <si>
    <r>
      <rPr>
        <sz val="9"/>
        <color theme="1"/>
        <rFont val="맑은 고딕"/>
        <family val="3"/>
        <charset val="129"/>
      </rPr>
      <t>엑셀</t>
    </r>
  </si>
  <si>
    <t>Execution path of Program</t>
  </si>
  <si>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</si>
  <si>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t>Extension</t>
  </si>
  <si>
    <r>
      <rPr>
        <sz val="9"/>
        <color theme="1"/>
        <rFont val="맑은 고딕"/>
        <family val="3"/>
        <charset val="129"/>
      </rPr>
      <t>확장자명</t>
    </r>
  </si>
  <si>
    <t>Filter</t>
  </si>
  <si>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</si>
  <si>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t>Filter Task</t>
  </si>
  <si>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</si>
  <si>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</si>
  <si>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t>Finish Date</t>
  </si>
  <si>
    <r>
      <rPr>
        <sz val="9"/>
        <color theme="1"/>
        <rFont val="맑은 고딕"/>
        <family val="3"/>
        <charset val="129"/>
      </rPr>
      <t>완료일자</t>
    </r>
  </si>
  <si>
    <t>Finish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</si>
  <si>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</si>
  <si>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Finish date is invalid.</t>
  </si>
  <si>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</si>
  <si>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Finish date is invalid. Verify row {} of the source file.</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</si>
  <si>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</si>
  <si>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First day of week</t>
  </si>
  <si>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</si>
  <si>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t>Follow the language setting of your computer O/S</t>
  </si>
  <si>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</si>
  <si>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t>Fri</t>
  </si>
  <si>
    <r>
      <rPr>
        <sz val="9"/>
        <color theme="1"/>
        <rFont val="맑은 고딕"/>
        <family val="3"/>
        <charset val="129"/>
      </rPr>
      <t>금</t>
    </r>
  </si>
  <si>
    <t>From (File to import )</t>
  </si>
  <si>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</si>
  <si>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t>From Date is invalid.</t>
  </si>
  <si>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</si>
  <si>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t>Gantt Chart Display</t>
  </si>
  <si>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</si>
  <si>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t>Gantt chart group task bar</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</si>
  <si>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</si>
  <si>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t>Gantt chart progress line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</si>
  <si>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</si>
  <si>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t>Gantt chart sub task bar</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</si>
  <si>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</si>
  <si>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t>Gantt chart title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</si>
  <si>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</si>
  <si>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t>Gantt Chart View Style</t>
  </si>
  <si>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</si>
  <si>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t>Gantt Chart Zoom Ratio(Max 999%)</t>
    <phoneticPr fontId="1" type="noConversion"/>
  </si>
  <si>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</si>
  <si>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t>General</t>
  </si>
  <si>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</si>
  <si>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</si>
  <si>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t>Green</t>
    <phoneticPr fontId="1" type="noConversion"/>
  </si>
  <si>
    <r>
      <rPr>
        <sz val="9"/>
        <color theme="1"/>
        <rFont val="맑은 고딕"/>
        <family val="3"/>
        <charset val="129"/>
      </rPr>
      <t>그린</t>
    </r>
    <phoneticPr fontId="1" type="noConversion"/>
  </si>
  <si>
    <t>Group rows</t>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</si>
  <si>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</si>
  <si>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t>Group rows(Max 8 Levels)</t>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</si>
  <si>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</si>
  <si>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</si>
  <si>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t>Help and the latest version</t>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</si>
  <si>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</si>
  <si>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t>How to use</t>
    <phoneticPr fontId="1" type="noConversion"/>
  </si>
  <si>
    <r>
      <rPr>
        <sz val="9"/>
        <color theme="1"/>
        <rFont val="맑은 고딕"/>
        <family val="3"/>
        <charset val="129"/>
      </rPr>
      <t>사용법</t>
    </r>
    <phoneticPr fontId="1" type="noConversion"/>
  </si>
  <si>
    <t>https://xlworks.io/</t>
    <phoneticPr fontId="1" type="noConversion"/>
  </si>
  <si>
    <t>https://xlworks.net/</t>
    <phoneticPr fontId="1" type="noConversion"/>
  </si>
  <si>
    <t>https://xlworks.io/xlgantt-project-scheduler/</t>
  </si>
  <si>
    <t>https://xlworks.net/xlgantt-project-scheduler/</t>
    <phoneticPr fontId="1" type="noConversion"/>
  </si>
  <si>
    <t>https://xlworks.io/xlgantt-howto-1-getting-started-with-xlgantt/</t>
  </si>
  <si>
    <t>https://xlworks.net/xlgantt-easy-tip/</t>
    <phoneticPr fontId="1" type="noConversion"/>
  </si>
  <si>
    <t>https://xlworks.io/xlgantt-howto-2-input-task-update-schedule/</t>
  </si>
  <si>
    <t>https://xlworks.net/xlgantt-howto-02-task/</t>
    <phoneticPr fontId="1" type="noConversion"/>
  </si>
  <si>
    <t>https://xlworks.io/xlgantt-howto-03-gantt-chart/</t>
  </si>
  <si>
    <t>https://xlworks.net/xlgantt-howto-03-gantt-chart/</t>
    <phoneticPr fontId="1" type="noConversion"/>
  </si>
  <si>
    <t>https://xlworks.io/xlgantt-howto-04-project-progress/</t>
  </si>
  <si>
    <t>https://xlworks.net/xlgantt-howto-04-project-progress/</t>
    <phoneticPr fontId="1" type="noConversion"/>
  </si>
  <si>
    <t>https://xlworks.io/xlgantt-howto-05-analysis-report/</t>
  </si>
  <si>
    <t>https://xlworks.net/xlgantt-howto-05-analysis-report/</t>
    <phoneticPr fontId="1" type="noConversion"/>
  </si>
  <si>
    <t>https://xlworks.io/xlgantt-howto-06-schedule-change-management/</t>
  </si>
  <si>
    <t>https://xlworks.net/xlgantt-howto-06-schedule-change-management/</t>
    <phoneticPr fontId="1" type="noConversion"/>
  </si>
  <si>
    <t>https://xlworks.io/xlgantt-howto-07-deliverables/</t>
  </si>
  <si>
    <t>https://xlworks.net/xlgantt-howto-07-deliverables/</t>
    <phoneticPr fontId="1" type="noConversion"/>
  </si>
  <si>
    <t>https://xlworks.io/xlgantt-howto-08-add-tasks-to-outlook/</t>
  </si>
  <si>
    <t>https://xlworks.net/xlgantt-howto-08-add-tasks-to-outlook/</t>
    <phoneticPr fontId="1" type="noConversion"/>
  </si>
  <si>
    <t>https://xlworks.io/xlgantt-howto-09-multilingual-support/</t>
  </si>
  <si>
    <t>https://xlworks.net/xlgantt-howto-09-multilingual-support/</t>
  </si>
  <si>
    <t>https://xlworks.io/xlgantt-howto-10-import-schedule/</t>
  </si>
  <si>
    <t>https://xlworks.net/xlgantt-howto-10-import-schedule/</t>
  </si>
  <si>
    <t>https://xlworks.io/xlgantt-howto-11-calendar/</t>
  </si>
  <si>
    <t>https://xlworks.net/xlgantt-howto-11-calendar/</t>
  </si>
  <si>
    <t>https://xlworks.io/xlgantt-howto-12-integration-with-excel/</t>
  </si>
  <si>
    <t>https://xlworks.net/xlgantt-howto-12-integration-with-excel/</t>
  </si>
  <si>
    <t>https://xlworks.io/xlgantt-howto-13-server-data/</t>
  </si>
  <si>
    <t>https://xlworks.net/xlgantt-howto-13-server-data/</t>
    <phoneticPr fontId="1" type="noConversion"/>
  </si>
  <si>
    <t>https://xlworks.io/xlgantt-howto-14-workloads/</t>
    <phoneticPr fontId="1" type="noConversion"/>
  </si>
  <si>
    <t>https://xlworks.net/xlgantt-howto-14-workloads/</t>
    <phoneticPr fontId="1" type="noConversion"/>
  </si>
  <si>
    <t>https://xlworks.io/xlgantt-howto-15-color-theme/</t>
    <phoneticPr fontId="1" type="noConversion"/>
  </si>
  <si>
    <t>https://xlworks.net/xlgantt-howto-15-color-theme/</t>
    <phoneticPr fontId="1" type="noConversion"/>
  </si>
  <si>
    <t>If the language in source file and the language in target file are different, you can not import.</t>
  </si>
  <si>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</si>
  <si>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If you choose "Assigning path by task name automatically" option, you need to set the upper path.</t>
  </si>
  <si>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</si>
  <si>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</si>
  <si>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</si>
  <si>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</si>
  <si>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t>Import</t>
  </si>
  <si>
    <r>
      <rPr>
        <sz val="9"/>
        <color theme="1"/>
        <rFont val="맑은 고딕"/>
        <family val="3"/>
        <charset val="129"/>
      </rPr>
      <t>가져오기</t>
    </r>
  </si>
  <si>
    <t xml:space="preserve">Import  Data of "ServerData" sheet on Startup </t>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</si>
  <si>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</si>
  <si>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t>Import common Excel file</t>
  </si>
  <si>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</si>
  <si>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t>Import data after clearing the existing data</t>
  </si>
  <si>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</si>
  <si>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t>Import Data without Clearing the Existing Data</t>
  </si>
  <si>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</si>
  <si>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t>Import file format Error! Range A1 should contain "xlgantt_reserved" string.</t>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</si>
  <si>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</si>
  <si>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t>Import file format Error! Range A2 should contain the import result.</t>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</si>
  <si>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</si>
  <si>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t>Import files created in XLGantt</t>
  </si>
  <si>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</si>
  <si>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t>Import from Server</t>
    <phoneticPr fontId="1" type="noConversion"/>
  </si>
  <si>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</si>
  <si>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t>Import has already been completed.</t>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</si>
  <si>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</si>
  <si>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t>Import new data into the Schedule sheet after clearing the exisint data</t>
  </si>
  <si>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</si>
  <si>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t>Import new data into the Schedule sheet without clearing the existing  data</t>
  </si>
  <si>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</si>
  <si>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t>Import Option</t>
  </si>
  <si>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</si>
  <si>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t xml:space="preserve">Import success!\nTotal rows of imported data : </t>
  </si>
  <si>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</si>
  <si>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t>Import without clearing the existing data.</t>
  </si>
  <si>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</si>
  <si>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t>Import Wizard</t>
  </si>
  <si>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</si>
  <si>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</si>
  <si>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t>Importing Server Data</t>
    <phoneticPr fontId="1" type="noConversion"/>
  </si>
  <si>
    <r>
      <t xml:space="preserve">Server Data </t>
    </r>
    <r>
      <rPr>
        <sz val="9"/>
        <color theme="1"/>
        <rFont val="맑은 고딕"/>
        <family val="3"/>
        <charset val="129"/>
      </rPr>
      <t>가져오기</t>
    </r>
  </si>
  <si>
    <t>Importing..., Please wait...</t>
  </si>
  <si>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</si>
  <si>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</si>
  <si>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t>Included in the selection\nlist when deliverables\nnot specified</t>
  </si>
  <si>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</si>
  <si>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t>Indent Task</t>
  </si>
  <si>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</si>
  <si>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t>Inside of the chart</t>
  </si>
  <si>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</si>
  <si>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</si>
  <si>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t>Invalid field name!</t>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</si>
  <si>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</si>
  <si>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t>It is used when you want to see schedule data of IT system where server exists separately.</t>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</si>
  <si>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</si>
  <si>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t>It recalculates duration and % Work Complete. Clicking the Save button will be the same.</t>
  </si>
  <si>
    <t>It's already chosen language.</t>
  </si>
  <si>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</si>
  <si>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t>Job Results</t>
  </si>
  <si>
    <r>
      <rPr>
        <sz val="9"/>
        <color theme="1"/>
        <rFont val="맑은 고딕"/>
        <family val="3"/>
        <charset val="129"/>
      </rPr>
      <t>작업결과</t>
    </r>
  </si>
  <si>
    <t>John</t>
  </si>
  <si>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</si>
  <si>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</si>
  <si>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t>Language</t>
  </si>
  <si>
    <r>
      <rPr>
        <sz val="9"/>
        <color theme="1"/>
        <rFont val="맑은 고딕"/>
        <family val="3"/>
        <charset val="129"/>
      </rPr>
      <t>언어</t>
    </r>
    <phoneticPr fontId="1" type="noConversion"/>
  </si>
  <si>
    <t>Left of the chart</t>
  </si>
  <si>
    <r>
      <t xml:space="preserve">Chart </t>
    </r>
    <r>
      <rPr>
        <sz val="9"/>
        <color theme="1"/>
        <rFont val="맑은 고딕"/>
        <family val="3"/>
        <charset val="129"/>
      </rPr>
      <t>왼쪽</t>
    </r>
  </si>
  <si>
    <t>License</t>
  </si>
  <si>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</si>
  <si>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</si>
  <si>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</si>
  <si>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</si>
  <si>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</si>
  <si>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t>Man-Day</t>
  </si>
  <si>
    <t>Man-Month</t>
  </si>
  <si>
    <t>Manual</t>
    <phoneticPr fontId="1" type="noConversion"/>
  </si>
  <si>
    <r>
      <rPr>
        <sz val="9"/>
        <color theme="1"/>
        <rFont val="맑은 고딕"/>
        <family val="3"/>
        <charset val="129"/>
      </rPr>
      <t>수동</t>
    </r>
    <phoneticPr fontId="1" type="noConversion"/>
  </si>
  <si>
    <t>Map &gt;&gt;</t>
  </si>
  <si>
    <t>Mapping &gt;&gt;</t>
  </si>
  <si>
    <t>Mark task as milestone</t>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</si>
  <si>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</si>
  <si>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t>mm/dd/yyyy</t>
  </si>
  <si>
    <t>yyyy/mm/dd</t>
    <phoneticPr fontId="1" type="noConversion"/>
  </si>
  <si>
    <t>mmmm yyyy</t>
  </si>
  <si>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</si>
  <si>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t>Mon</t>
  </si>
  <si>
    <r>
      <rPr>
        <sz val="9"/>
        <color theme="1"/>
        <rFont val="맑은 고딕"/>
        <family val="3"/>
        <charset val="129"/>
      </rPr>
      <t>월</t>
    </r>
  </si>
  <si>
    <t>Monthly</t>
  </si>
  <si>
    <r>
      <rPr>
        <sz val="9"/>
        <color theme="1"/>
        <rFont val="맑은 고딕"/>
        <family val="3"/>
        <charset val="129"/>
      </rPr>
      <t>월별</t>
    </r>
  </si>
  <si>
    <t>Monthly view</t>
  </si>
  <si>
    <r>
      <rPr>
        <sz val="9"/>
        <color theme="1"/>
        <rFont val="맑은 고딕"/>
        <family val="3"/>
        <charset val="129"/>
      </rPr>
      <t>월별보기</t>
    </r>
  </si>
  <si>
    <t>Months</t>
  </si>
  <si>
    <t>Multilingual Support</t>
  </si>
  <si>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</si>
  <si>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t>Name of Nonworking Days</t>
  </si>
  <si>
    <r>
      <rPr>
        <sz val="9"/>
        <color theme="1"/>
        <rFont val="맑은 고딕"/>
        <family val="3"/>
        <charset val="129"/>
      </rPr>
      <t>휴무일명</t>
    </r>
  </si>
  <si>
    <t>New Version</t>
  </si>
  <si>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</si>
  <si>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t>Next &gt;&gt;</t>
  </si>
  <si>
    <r>
      <rPr>
        <sz val="9"/>
        <color theme="1"/>
        <rFont val="맑은 고딕"/>
        <family val="3"/>
        <charset val="129"/>
      </rPr>
      <t>다음</t>
    </r>
    <r>
      <rPr>
        <sz val="9"/>
        <color theme="1"/>
        <rFont val="Calibri"/>
        <family val="2"/>
      </rPr>
      <t xml:space="preserve"> &gt;&gt;</t>
    </r>
  </si>
  <si>
    <t>No data to import.</t>
    <phoneticPr fontId="1" type="noConversion"/>
  </si>
  <si>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</si>
  <si>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t>No need to enter in the Calendar sheet</t>
  </si>
  <si>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</si>
  <si>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t>No need to enter Saturdays and Sundays in the Calendar sheet</t>
  </si>
  <si>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</si>
  <si>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t>for Week Number</t>
    <phoneticPr fontId="1" type="noConversion"/>
  </si>
  <si>
    <t>None</t>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</si>
  <si>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</si>
  <si>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t>Nonworking Days</t>
  </si>
  <si>
    <r>
      <rPr>
        <sz val="9"/>
        <color theme="1"/>
        <rFont val="맑은 고딕"/>
        <family val="3"/>
        <charset val="129"/>
      </rPr>
      <t>휴무일자</t>
    </r>
  </si>
  <si>
    <t>Not Completed(&lt;&gt;100%)</t>
  </si>
  <si>
    <r>
      <rPr>
        <sz val="9"/>
        <color theme="1"/>
        <rFont val="맑은 고딕"/>
        <family val="3"/>
        <charset val="129"/>
      </rPr>
      <t>미완료</t>
    </r>
  </si>
  <si>
    <t>Not 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</si>
  <si>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</si>
  <si>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t>Not Specified(Standard Calendar)</t>
  </si>
  <si>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</si>
  <si>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</si>
  <si>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t>Number of "Task" columns(Max 20)</t>
    <phoneticPr fontId="1" type="noConversion"/>
  </si>
  <si>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</si>
  <si>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t>Of the first two rows, at least one has been deleted. Please retry after changing the sheet to its previous state.</t>
  </si>
  <si>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</si>
  <si>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t>On schedule</t>
    <phoneticPr fontId="1" type="noConversion"/>
  </si>
  <si>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</si>
  <si>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t>Once you choose "Display the task name in the same field" option, you should select a WBS No. or a WBS Level field.</t>
  </si>
  <si>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</si>
  <si>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t>Only Saturdays and Sundays</t>
  </si>
  <si>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</si>
  <si>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t>Only the dates entered in the Calendar sheet</t>
  </si>
  <si>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</si>
  <si>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t>Open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</si>
  <si>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</si>
  <si>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t>Open Deliverables Folder</t>
  </si>
  <si>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</si>
  <si>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t>Options</t>
  </si>
  <si>
    <r>
      <rPr>
        <sz val="9"/>
        <color theme="1"/>
        <rFont val="맑은 고딕"/>
        <family val="3"/>
        <charset val="129"/>
      </rPr>
      <t>옵션</t>
    </r>
  </si>
  <si>
    <t>Outdent Task</t>
  </si>
  <si>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</si>
  <si>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t>Outline Level</t>
  </si>
  <si>
    <r>
      <rPr>
        <sz val="9"/>
        <color theme="1"/>
        <rFont val="맑은 고딕"/>
        <family val="3"/>
        <charset val="129"/>
      </rPr>
      <t>개요수준</t>
    </r>
  </si>
  <si>
    <t xml:space="preserve">Percent </t>
  </si>
  <si>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</si>
  <si>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t>Pick a Date</t>
  </si>
  <si>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</si>
  <si>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t>Plan</t>
    <phoneticPr fontId="1" type="noConversion"/>
  </si>
  <si>
    <r>
      <rPr>
        <sz val="9"/>
        <color theme="1"/>
        <rFont val="맑은 고딕"/>
        <family val="3"/>
        <charset val="129"/>
      </rPr>
      <t>계획</t>
    </r>
    <phoneticPr fontId="1" type="noConversion"/>
  </si>
  <si>
    <t>Planned %Work Complete</t>
  </si>
  <si>
    <r>
      <rPr>
        <sz val="9"/>
        <color theme="1"/>
        <rFont val="맑은 고딕"/>
        <family val="3"/>
        <charset val="129"/>
      </rPr>
      <t>계획진척율</t>
    </r>
    <phoneticPr fontId="1" type="noConversion"/>
  </si>
  <si>
    <t>Planned %Work Complete calculation base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</si>
  <si>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</si>
  <si>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t>Planned %Work Complete from the start date to the current date</t>
  </si>
  <si>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</si>
  <si>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t>Planned %Work Complete(A)</t>
  </si>
  <si>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</si>
  <si>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t>Planned %Work Complete(B/A)</t>
  </si>
  <si>
    <r>
      <rPr>
        <sz val="9"/>
        <color theme="1"/>
        <rFont val="맑은 고딕"/>
        <family val="3"/>
        <charset val="129"/>
      </rPr>
      <t>계획</t>
    </r>
    <r>
      <rPr>
        <sz val="9"/>
        <color theme="1"/>
        <rFont val="Calibri"/>
        <family val="2"/>
      </rPr>
      <t>(B/A)</t>
    </r>
  </si>
  <si>
    <t>Planned Duration</t>
  </si>
  <si>
    <r>
      <rPr>
        <sz val="9"/>
        <color theme="1"/>
        <rFont val="맑은 고딕"/>
        <family val="3"/>
        <charset val="129"/>
      </rPr>
      <t>계획기간</t>
    </r>
  </si>
  <si>
    <t>Planned Progress</t>
  </si>
  <si>
    <r>
      <rPr>
        <sz val="9"/>
        <color theme="1"/>
        <rFont val="맑은 고딕"/>
        <family val="3"/>
        <charset val="129"/>
      </rPr>
      <t>계획진척율</t>
    </r>
  </si>
  <si>
    <t>Planned Work</t>
  </si>
  <si>
    <r>
      <rPr>
        <sz val="9"/>
        <color theme="1"/>
        <rFont val="맑은 고딕"/>
        <family val="3"/>
        <charset val="129"/>
      </rPr>
      <t>계획작업량</t>
    </r>
  </si>
  <si>
    <t>Planned Work(B)\nMan-day</t>
  </si>
  <si>
    <r>
      <rPr>
        <sz val="9"/>
        <color theme="1"/>
        <rFont val="맑은 고딕"/>
        <family val="3"/>
        <charset val="129"/>
      </rPr>
      <t>계획작업량</t>
    </r>
    <r>
      <rPr>
        <sz val="9"/>
        <color theme="1"/>
        <rFont val="Calibri"/>
        <family val="2"/>
      </rPr>
      <t>(B)\nMan-day</t>
    </r>
  </si>
  <si>
    <t>Planned Work\n(ManDay to Today)</t>
  </si>
  <si>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</si>
  <si>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t>Planned workload</t>
  </si>
  <si>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</si>
  <si>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t>Planned Workload Accumulated(Man-Day)</t>
    <phoneticPr fontId="1" type="noConversion"/>
  </si>
  <si>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</si>
  <si>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t>Planned workload from the start date to the current date</t>
  </si>
  <si>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</si>
  <si>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t>Planned Workload Progress</t>
    <phoneticPr fontId="1" type="noConversion"/>
  </si>
  <si>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</si>
  <si>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t>Planned Workload(Man-Day)</t>
    <phoneticPr fontId="1" type="noConversion"/>
  </si>
  <si>
    <r>
      <rPr>
        <sz val="9"/>
        <color theme="1"/>
        <rFont val="맑은 고딕"/>
        <family val="3"/>
        <charset val="129"/>
      </rPr>
      <t>계획작업량</t>
    </r>
    <r>
      <rPr>
        <sz val="9"/>
        <color theme="1"/>
        <rFont val="Calibri"/>
        <family val="2"/>
      </rPr>
      <t>(Man-Day)</t>
    </r>
    <phoneticPr fontId="1" type="noConversion"/>
  </si>
  <si>
    <t>Planned__%Work Complete</t>
    <phoneticPr fontId="3" type="noConversion"/>
  </si>
  <si>
    <r>
      <rPr>
        <sz val="9"/>
        <color theme="1"/>
        <rFont val="맑은 고딕"/>
        <family val="3"/>
        <charset val="129"/>
      </rPr>
      <t>계획</t>
    </r>
  </si>
  <si>
    <t>Planned__Duration</t>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</si>
  <si>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</si>
  <si>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t>Planned__Work</t>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</si>
  <si>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</si>
  <si>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t>Planned\n%Work Complete</t>
  </si>
  <si>
    <t>Planned\nDuration</t>
  </si>
  <si>
    <r>
      <rPr>
        <sz val="9"/>
        <color theme="1"/>
        <rFont val="맑은 고딕"/>
        <family val="3"/>
        <charset val="129"/>
      </rPr>
      <t>계획</t>
    </r>
    <r>
      <rPr>
        <sz val="9"/>
        <color theme="1"/>
        <rFont val="Calibri"/>
        <family val="2"/>
      </rPr>
      <t>\n</t>
    </r>
    <r>
      <rPr>
        <sz val="9"/>
        <color theme="1"/>
        <rFont val="맑은 고딕"/>
        <family val="3"/>
        <charset val="129"/>
      </rPr>
      <t>기간</t>
    </r>
  </si>
  <si>
    <t>Planned\nWork</t>
  </si>
  <si>
    <r>
      <rPr>
        <sz val="9"/>
        <color theme="1"/>
        <rFont val="맑은 고딕"/>
        <family val="3"/>
        <charset val="129"/>
      </rPr>
      <t>계획</t>
    </r>
    <r>
      <rPr>
        <sz val="9"/>
        <color theme="1"/>
        <rFont val="Calibri"/>
        <family val="2"/>
      </rPr>
      <t>\n</t>
    </r>
    <r>
      <rPr>
        <sz val="9"/>
        <color theme="1"/>
        <rFont val="맑은 고딕"/>
        <family val="3"/>
        <charset val="129"/>
      </rPr>
      <t>작업량</t>
    </r>
  </si>
  <si>
    <t>Please choose a type of the task field.</t>
  </si>
  <si>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</si>
  <si>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t>Please enter the extension.</t>
  </si>
  <si>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</si>
  <si>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t>Please enter the path where deliverables are saved.</t>
  </si>
  <si>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</si>
  <si>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t>Please enter the program execution path.</t>
  </si>
  <si>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</si>
  <si>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t>Please set project calendars in this sheet.</t>
  </si>
  <si>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</si>
  <si>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t>Positive - ahead of schedule, Negative - behind schedule</t>
  </si>
  <si>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</si>
  <si>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t>Powerpoint</t>
  </si>
  <si>
    <r>
      <rPr>
        <sz val="9"/>
        <color theme="1"/>
        <rFont val="맑은 고딕"/>
        <family val="3"/>
        <charset val="129"/>
      </rPr>
      <t>파워포인트</t>
    </r>
  </si>
  <si>
    <t>Program Info</t>
  </si>
  <si>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</si>
  <si>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t>Program Name</t>
  </si>
  <si>
    <r>
      <rPr>
        <sz val="9"/>
        <color theme="1"/>
        <rFont val="맑은 고딕"/>
        <family val="3"/>
        <charset val="129"/>
      </rPr>
      <t>프로그램명</t>
    </r>
  </si>
  <si>
    <t>Program Site</t>
  </si>
  <si>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</si>
  <si>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t>Progress</t>
  </si>
  <si>
    <r>
      <rPr>
        <sz val="9"/>
        <color theme="1"/>
        <rFont val="맑은 고딕"/>
        <family val="3"/>
        <charset val="129"/>
      </rPr>
      <t>진척율</t>
    </r>
  </si>
  <si>
    <t>Progress by Months</t>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</si>
  <si>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</si>
  <si>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t>Progress by Weeks</t>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</si>
  <si>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</si>
  <si>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t>Progresses by Resources</t>
  </si>
  <si>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</si>
  <si>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t>Project Execution Plan</t>
  </si>
  <si>
    <r>
      <rPr>
        <sz val="9"/>
        <color theme="1"/>
        <rFont val="맑은 고딕"/>
        <family val="3"/>
        <charset val="129"/>
      </rPr>
      <t>프로젝트수행계획서</t>
    </r>
  </si>
  <si>
    <t>Project Information</t>
  </si>
  <si>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</si>
  <si>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t>Project Name</t>
  </si>
  <si>
    <r>
      <rPr>
        <sz val="9"/>
        <color theme="1"/>
        <rFont val="맑은 고딕"/>
        <family val="3"/>
        <charset val="129"/>
      </rPr>
      <t>프로젝트명</t>
    </r>
  </si>
  <si>
    <t>Project Progress - When managing schedule changes</t>
  </si>
  <si>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</si>
  <si>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</si>
  <si>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t>Project Progresses by Months</t>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</si>
  <si>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</si>
  <si>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t>Project Progresses by Weeks</t>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</si>
  <si>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</si>
  <si>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t>Project Scheduler</t>
  </si>
  <si>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</si>
  <si>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t>Purple</t>
    <phoneticPr fontId="1" type="noConversion"/>
  </si>
  <si>
    <r>
      <rPr>
        <sz val="9"/>
        <color theme="1"/>
        <rFont val="맑은 고딕"/>
        <family val="3"/>
        <charset val="129"/>
      </rPr>
      <t>퍼플</t>
    </r>
    <phoneticPr fontId="1" type="noConversion"/>
  </si>
  <si>
    <t>Recalculate WBS area after import</t>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</si>
  <si>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</si>
  <si>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t>Reformatting</t>
  </si>
  <si>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</si>
  <si>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t>Regardless of the language setting in computer O/S, you can choose a language directly</t>
  </si>
  <si>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</si>
  <si>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t>Release Date</t>
  </si>
  <si>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</si>
  <si>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t>Resource Allocation Ratio</t>
    <phoneticPr fontId="1" type="noConversion"/>
  </si>
  <si>
    <r>
      <rPr>
        <sz val="9"/>
        <color theme="1"/>
        <rFont val="맑은 고딕"/>
        <family val="3"/>
        <charset val="129"/>
      </rPr>
      <t>자원배정비율</t>
    </r>
    <phoneticPr fontId="1" type="noConversion"/>
  </si>
  <si>
    <t>Resource field.</t>
  </si>
  <si>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</si>
  <si>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t>Resources</t>
    <phoneticPr fontId="1" type="noConversion"/>
  </si>
  <si>
    <t>Right of the chart</t>
  </si>
  <si>
    <r>
      <t xml:space="preserve">Chart </t>
    </r>
    <r>
      <rPr>
        <sz val="9"/>
        <color theme="1"/>
        <rFont val="맑은 고딕"/>
        <family val="3"/>
        <charset val="129"/>
      </rPr>
      <t>오른쪽</t>
    </r>
  </si>
  <si>
    <t xml:space="preserve">Rows of imported data : </t>
  </si>
  <si>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</si>
  <si>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t>Run "Update Schedule"  When Saving XLGantt File</t>
  </si>
  <si>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</si>
  <si>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t>Sat</t>
  </si>
  <si>
    <r>
      <rPr>
        <sz val="9"/>
        <color theme="1"/>
        <rFont val="맑은 고딕"/>
        <family val="3"/>
        <charset val="129"/>
      </rPr>
      <t>토</t>
    </r>
  </si>
  <si>
    <t>Save</t>
  </si>
  <si>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</si>
  <si>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</si>
  <si>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t>Schedule Change Management</t>
  </si>
  <si>
    <t>Schedule update has been completed.</t>
  </si>
  <si>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</si>
  <si>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t>Schedule variance</t>
    <phoneticPr fontId="1" type="noConversion"/>
  </si>
  <si>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</si>
  <si>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t>Schedule Variance(B-A)</t>
  </si>
  <si>
    <r>
      <rPr>
        <sz val="9"/>
        <color theme="1"/>
        <rFont val="맑은 고딕"/>
        <family val="3"/>
        <charset val="129"/>
      </rPr>
      <t>차이</t>
    </r>
    <r>
      <rPr>
        <sz val="9"/>
        <color theme="1"/>
        <rFont val="Calibri"/>
        <family val="2"/>
      </rPr>
      <t>(B-A)</t>
    </r>
  </si>
  <si>
    <t>Search for the tasks based on criteria.</t>
  </si>
  <si>
    <t>Select source files(Muliple Select)</t>
  </si>
  <si>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</si>
  <si>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t>Set "the earliest start date and the lastest fisnish date of the tasks" to the Project Start-Finish date.</t>
    <phoneticPr fontId="1" type="noConversion"/>
  </si>
  <si>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</si>
  <si>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t xml:space="preserve">Set path by the task name automatically\n(in this case, specify the upper path of automatically assigned path) </t>
  </si>
  <si>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</si>
  <si>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t>Set program execution paths to open deliverables</t>
  </si>
  <si>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</si>
  <si>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t>Set saving path of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</si>
  <si>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</si>
  <si>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</si>
  <si>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</si>
  <si>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t>Settings</t>
  </si>
  <si>
    <r>
      <rPr>
        <sz val="9"/>
        <color theme="1"/>
        <rFont val="맑은 고딕"/>
        <family val="3"/>
        <charset val="129"/>
      </rPr>
      <t>설정</t>
    </r>
  </si>
  <si>
    <t>Sheets</t>
    <phoneticPr fontId="1" type="noConversion"/>
  </si>
  <si>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</si>
  <si>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</si>
  <si>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</si>
  <si>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Specific Date</t>
  </si>
  <si>
    <r>
      <rPr>
        <sz val="9"/>
        <color theme="1"/>
        <rFont val="맑은 고딕"/>
        <family val="3"/>
        <charset val="129"/>
      </rPr>
      <t>특정날짜</t>
    </r>
  </si>
  <si>
    <t>Specific path</t>
  </si>
  <si>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</si>
  <si>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</si>
  <si>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Standard Calendar</t>
  </si>
  <si>
    <r>
      <rPr>
        <sz val="9"/>
        <color theme="1"/>
        <rFont val="맑은 고딕"/>
        <family val="3"/>
        <charset val="129"/>
      </rPr>
      <t>표준캘린더</t>
    </r>
  </si>
  <si>
    <t>Star(*) marks-required fields</t>
    <phoneticPr fontId="1" type="noConversion"/>
  </si>
  <si>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</si>
  <si>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</si>
  <si>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t>Start Date</t>
  </si>
  <si>
    <r>
      <rPr>
        <sz val="9"/>
        <color theme="1"/>
        <rFont val="맑은 고딕"/>
        <family val="3"/>
        <charset val="129"/>
      </rPr>
      <t>시작일자</t>
    </r>
  </si>
  <si>
    <t>Start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</si>
  <si>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</si>
  <si>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Start date is invalid.</t>
  </si>
  <si>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</si>
  <si>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Start date is invalid. Verify row {} of the source file.</t>
  </si>
  <si>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</si>
  <si>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Started as planned</t>
    <phoneticPr fontId="1" type="noConversion"/>
  </si>
  <si>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</si>
  <si>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t>Started earlier than planned</t>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</si>
  <si>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</si>
  <si>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t>Started later than planned</t>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</si>
  <si>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</si>
  <si>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t>Start-Finish</t>
  </si>
  <si>
    <r>
      <rPr>
        <sz val="9"/>
        <color theme="1"/>
        <rFont val="맑은 고딕"/>
        <family val="3"/>
        <charset val="129"/>
      </rPr>
      <t>시작일</t>
    </r>
    <r>
      <rPr>
        <sz val="9"/>
        <color theme="1"/>
        <rFont val="Calibri"/>
        <family val="2"/>
      </rPr>
      <t>-</t>
    </r>
    <r>
      <rPr>
        <sz val="9"/>
        <color theme="1"/>
        <rFont val="맑은 고딕"/>
        <family val="3"/>
        <charset val="129"/>
      </rPr>
      <t>완료일</t>
    </r>
  </si>
  <si>
    <t>Successfully imported.</t>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</si>
  <si>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</si>
  <si>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t>Sun</t>
  </si>
  <si>
    <r>
      <rPr>
        <sz val="9"/>
        <color theme="1"/>
        <rFont val="맑은 고딕"/>
        <family val="3"/>
        <charset val="129"/>
      </rPr>
      <t>일</t>
    </r>
  </si>
  <si>
    <t>System 1</t>
    <phoneticPr fontId="1" type="noConversion"/>
  </si>
  <si>
    <r>
      <rPr>
        <sz val="9"/>
        <color theme="1"/>
        <rFont val="맑은 고딕"/>
        <family val="3"/>
        <charset val="129"/>
      </rPr>
      <t>체계</t>
    </r>
    <r>
      <rPr>
        <sz val="9"/>
        <color theme="1"/>
        <rFont val="Calibri"/>
        <family val="2"/>
      </rPr>
      <t xml:space="preserve"> 1</t>
    </r>
    <phoneticPr fontId="1" type="noConversion"/>
  </si>
  <si>
    <t>System 2</t>
    <phoneticPr fontId="1" type="noConversion"/>
  </si>
  <si>
    <r>
      <rPr>
        <sz val="9"/>
        <color theme="1"/>
        <rFont val="맑은 고딕"/>
        <family val="3"/>
        <charset val="129"/>
      </rPr>
      <t>체계</t>
    </r>
    <r>
      <rPr>
        <sz val="9"/>
        <color theme="1"/>
        <rFont val="Calibri"/>
        <family val="2"/>
      </rPr>
      <t xml:space="preserve"> 2</t>
    </r>
  </si>
  <si>
    <t>Task</t>
  </si>
  <si>
    <r>
      <rPr>
        <sz val="9"/>
        <color theme="1"/>
        <rFont val="맑은 고딕"/>
        <family val="3"/>
        <charset val="129"/>
      </rPr>
      <t>작업</t>
    </r>
    <phoneticPr fontId="1" type="noConversion"/>
  </si>
  <si>
    <t>Task area was not selected. Please select a task area.</t>
  </si>
  <si>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</si>
  <si>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t>Enter tasks, Update schedule</t>
    <phoneticPr fontId="1" type="noConversion"/>
  </si>
  <si>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</si>
  <si>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t>Task Name</t>
  </si>
  <si>
    <r>
      <rPr>
        <sz val="9"/>
        <color theme="1"/>
        <rFont val="맑은 고딕"/>
        <family val="3"/>
        <charset val="129"/>
      </rPr>
      <t>작업명</t>
    </r>
  </si>
  <si>
    <t>Task name field.It's also referred to as "Work" or "Activity" or etc.</t>
  </si>
  <si>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</si>
  <si>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t>Task(Task name or Name) is missing.</t>
  </si>
  <si>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</si>
  <si>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t>The "%Work Complete" column has been deleted. Please retry after changing the sheet to its previous state.</t>
  </si>
  <si>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</si>
  <si>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"%Work Complete" of row number {1} in the {2} sheet is not a number.</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</si>
  <si>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</si>
  <si>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t>The "Actual Finish Date" column has been deleted. Please retry after changing the sheet to its previous state.</t>
  </si>
  <si>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</si>
  <si>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Start Date" column has been deleted. Please retry after changing the sheet to its previous state.</t>
  </si>
  <si>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</si>
  <si>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Total Duration" column has been deleted. Please retry after changing the sheet to its previous state.</t>
  </si>
  <si>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</si>
  <si>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Total Work" column has been deleted. Please retry after changing the sheet to its previous state.</t>
  </si>
  <si>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</si>
  <si>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</si>
  <si>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</si>
  <si>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"Deliverables" column has been deleted. Please retry after changing the sheet to its previous state.</t>
  </si>
  <si>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</si>
  <si>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"Finish Date" column has been deleted. Please retry after changing the sheet to its previous state.</t>
  </si>
  <si>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</si>
  <si>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"Note" column has been deleted. Please retry after changing the sheet to its previous state.</t>
  </si>
  <si>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</si>
  <si>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%Work Complete" column has been deleted. Please retry after changing the sheet to its previous state.</t>
  </si>
  <si>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</si>
  <si>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Duration" column has been deleted. Please retry after changing the sheet to its previous state.</t>
  </si>
  <si>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</si>
  <si>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Work" column has been deleted. Please retry after changing the sheet to its previous state.</t>
  </si>
  <si>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</si>
  <si>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"Resources" column has been deleted. Please retry after changing the sheet to its previous state.</t>
  </si>
  <si>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</si>
  <si>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"Start Date" column has been deleted. Please retry after changing the sheet to its previous state.</t>
  </si>
  <si>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</si>
  <si>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"Task" column has been deleted. Please retry after changing the sheet to its previous state.</t>
  </si>
  <si>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</si>
  <si>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"Total Duration" column has been deleted. Please retry after changing the sheet to its previous state.</t>
  </si>
  <si>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</si>
  <si>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"Total Work" column has been deleted. Please retry after changing the sheet to its previous state.</t>
  </si>
  <si>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</si>
  <si>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</si>
  <si>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</si>
  <si>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</si>
  <si>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</si>
  <si>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"Weight" column has been deleted. Please retry after changing the sheet to its previous state.</t>
  </si>
  <si>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</si>
  <si>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 sheet does not exist. Please check that you changed or deleted the sheet.</t>
  </si>
  <si>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</si>
  <si>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</si>
  <si>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</si>
  <si>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</si>
  <si>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</si>
  <si>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</si>
  <si>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t>The actual start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</si>
  <si>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</si>
  <si>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actual start date of row number {1} in the {2} sheet is later than the actual finish date.</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</si>
  <si>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</si>
  <si>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t>The actual start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</si>
  <si>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</si>
  <si>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actual start or finish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</si>
  <si>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</si>
  <si>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count of level</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</si>
  <si>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</si>
  <si>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t>The date field of row number {1} in the {2} sheet was entered, but the task field is empty.\nEnter a value in the task field or clear the date field.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</si>
  <si>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</si>
  <si>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t>The deliverables name is empty.</t>
  </si>
  <si>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</si>
  <si>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</si>
  <si>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</si>
  <si>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The finish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</si>
  <si>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</si>
  <si>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</si>
  <si>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</si>
  <si>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following file formats are not supported. You can import files with version 0.9.7 or higher than 0.9.7.</t>
  </si>
  <si>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</si>
  <si>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t>The following file formats are not supported. You can import the files if the version is 0.9.7 or higher than 0.9.7.</t>
  </si>
  <si>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</si>
  <si>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t>The following files have been successfully imported.</t>
  </si>
  <si>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</si>
  <si>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t>The following folder does not exist.</t>
  </si>
  <si>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</si>
  <si>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t>The format of "Calculation Base Date of Planned %Work Complete" is invalid.</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</si>
  <si>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</si>
  <si>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format of the project finish date is invalid.</t>
  </si>
  <si>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</si>
  <si>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format of the project start date is invalid.</t>
  </si>
  <si>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</si>
  <si>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job was not completed successfully.</t>
  </si>
  <si>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</si>
  <si>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t>The kind of period is invalid. You must enter one of the M(Months) or W(Weeks)</t>
  </si>
  <si>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</si>
  <si>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t>The language setting has been changed.\nPress the OK button to start translation. \nIt may take a long time to translate.\nHowever, translation of Ribbon menu and Popup menu takes effect after reopening this XLGantt file.</t>
    <phoneticPr fontId="3" type="noConversion"/>
  </si>
  <si>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</si>
  <si>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</si>
  <si>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</si>
  <si>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The level of row {} is invalid.</t>
  </si>
  <si>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</si>
  <si>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t>The number of Level must be less than or equal to {}</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</si>
  <si>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</si>
  <si>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t>The number of Level must be positive integer.</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</si>
  <si>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</si>
  <si>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t>The number of task columns is not 10. Please retry after changing the sheet to its previous state.</t>
    <phoneticPr fontId="1" type="noConversion"/>
  </si>
  <si>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</si>
  <si>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t>The process was terminated due to the {} sheet error.</t>
  </si>
  <si>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</si>
  <si>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t>The project finish date({}) you entered is not valid date format.</t>
  </si>
  <si>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</si>
  <si>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t>The project start date({}) you entered is not valid date format.</t>
  </si>
  <si>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</si>
  <si>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t>The resource allocation ratio in the resource field of row number {1} in the {2} sheet is invalid.</t>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</si>
  <si>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</si>
  <si>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t>The resource field should be entered in the following format.</t>
    <phoneticPr fontId="1" type="noConversion"/>
  </si>
  <si>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</si>
  <si>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t>The start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</si>
  <si>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</si>
  <si>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start date is later than the finish date.</t>
  </si>
  <si>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</si>
  <si>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t>The start date of row number {1} in the {2} sheet is later than the finish date.</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</si>
  <si>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</si>
  <si>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t>The start or finish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</si>
  <si>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</si>
  <si>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task of the first row of the {} sheet is not level 1.</t>
  </si>
  <si>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</si>
  <si>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t>The type of task fields</t>
  </si>
  <si>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</si>
  <si>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t>The week containing January 1 is the first week of the year.</t>
    <phoneticPr fontId="1" type="noConversion"/>
  </si>
  <si>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</si>
  <si>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t>The week containing the first Thursday of the year is the first week of the year(ISO 8601 Standard).</t>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</si>
  <si>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</si>
  <si>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t>The weight of row number {1} in the {2} sheet is not a number.</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</si>
  <si>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</si>
  <si>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t>There are no executable programs that open the deliverables.</t>
  </si>
  <si>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</si>
  <si>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</si>
  <si>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</si>
  <si>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t>There is no data in the following files</t>
  </si>
  <si>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</si>
  <si>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</si>
  <si>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</si>
  <si>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t>There is no input data that will be calculated.</t>
  </si>
  <si>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</si>
  <si>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</si>
  <si>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</si>
  <si>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 Please enter after reformatting.</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</si>
  <si>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</si>
  <si>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</si>
  <si>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</si>
  <si>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t>This area can not be selected. Please select an area that contains tasks.</t>
  </si>
  <si>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</si>
  <si>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t>This Month only</t>
  </si>
  <si>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</si>
  <si>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This Week only</t>
  </si>
  <si>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</si>
  <si>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This XLGantt is not the latest version. Download the latest version from the following site.</t>
  </si>
  <si>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</si>
  <si>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t>Thu</t>
  </si>
  <si>
    <r>
      <rPr>
        <sz val="9"/>
        <color theme="1"/>
        <rFont val="맑은 고딕"/>
        <family val="3"/>
        <charset val="129"/>
      </rPr>
      <t>목</t>
    </r>
  </si>
  <si>
    <t>Time bucket type is invalid.</t>
  </si>
  <si>
    <r>
      <t xml:space="preserve">Time bucket type </t>
    </r>
    <r>
      <rPr>
        <sz val="9"/>
        <color theme="1"/>
        <rFont val="맑은 고딕"/>
        <family val="3"/>
        <charset val="129"/>
      </rPr>
      <t>오류입니다</t>
    </r>
    <r>
      <rPr>
        <sz val="9"/>
        <color theme="1"/>
        <rFont val="Calibri"/>
        <family val="2"/>
      </rPr>
      <t>.</t>
    </r>
  </si>
  <si>
    <t>Title above Gantt chart</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</si>
  <si>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</si>
  <si>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t>Title above WBS</t>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</si>
  <si>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</si>
  <si>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t>To (XLGantt)</t>
  </si>
  <si>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</si>
  <si>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t>To Date is invalid.</t>
  </si>
  <si>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</si>
  <si>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</si>
  <si>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</si>
  <si>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t>Today</t>
  </si>
  <si>
    <r>
      <rPr>
        <sz val="9"/>
        <color theme="1"/>
        <rFont val="맑은 고딕"/>
        <family val="3"/>
        <charset val="129"/>
      </rPr>
      <t>오늘</t>
    </r>
  </si>
  <si>
    <t>Today only</t>
  </si>
  <si>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</si>
  <si>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Total Duration</t>
  </si>
  <si>
    <r>
      <rPr>
        <sz val="9"/>
        <color theme="1"/>
        <rFont val="맑은 고딕"/>
        <family val="3"/>
        <charset val="129"/>
      </rPr>
      <t>총기간</t>
    </r>
  </si>
  <si>
    <t>Total Work</t>
  </si>
  <si>
    <r>
      <rPr>
        <sz val="9"/>
        <color theme="1"/>
        <rFont val="맑은 고딕"/>
        <family val="3"/>
        <charset val="129"/>
      </rPr>
      <t>총작업량</t>
    </r>
  </si>
  <si>
    <t>Total Work(A)\nMan-day</t>
  </si>
  <si>
    <r>
      <rPr>
        <sz val="9"/>
        <color theme="1"/>
        <rFont val="맑은 고딕"/>
        <family val="3"/>
        <charset val="129"/>
      </rPr>
      <t>총작업량</t>
    </r>
    <r>
      <rPr>
        <sz val="9"/>
        <color theme="1"/>
        <rFont val="Calibri"/>
        <family val="2"/>
      </rPr>
      <t>(A)\nMan-day</t>
    </r>
  </si>
  <si>
    <t>Total Work\n(Total ManDay)</t>
  </si>
  <si>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</si>
  <si>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t>Total workload of the project</t>
  </si>
  <si>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</si>
  <si>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t>Total__Duration</t>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</si>
  <si>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</si>
  <si>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t>Total__Work</t>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</si>
  <si>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</si>
  <si>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t>Total\nDuration</t>
  </si>
  <si>
    <r>
      <rPr>
        <sz val="9"/>
        <color theme="1"/>
        <rFont val="맑은 고딕"/>
        <family val="3"/>
        <charset val="129"/>
      </rPr>
      <t>총</t>
    </r>
    <r>
      <rPr>
        <sz val="9"/>
        <color theme="1"/>
        <rFont val="Calibri"/>
        <family val="2"/>
      </rPr>
      <t>\n</t>
    </r>
    <r>
      <rPr>
        <sz val="9"/>
        <color theme="1"/>
        <rFont val="맑은 고딕"/>
        <family val="3"/>
        <charset val="129"/>
      </rPr>
      <t>기간</t>
    </r>
  </si>
  <si>
    <t>Total\nWork</t>
  </si>
  <si>
    <r>
      <rPr>
        <sz val="9"/>
        <color theme="1"/>
        <rFont val="맑은 고딕"/>
        <family val="3"/>
        <charset val="129"/>
      </rPr>
      <t>총</t>
    </r>
    <r>
      <rPr>
        <sz val="9"/>
        <color theme="1"/>
        <rFont val="Calibri"/>
        <family val="2"/>
      </rPr>
      <t>\n</t>
    </r>
    <r>
      <rPr>
        <sz val="9"/>
        <color theme="1"/>
        <rFont val="맑은 고딕"/>
        <family val="3"/>
        <charset val="129"/>
      </rPr>
      <t>작업량</t>
    </r>
  </si>
  <si>
    <t>Tue</t>
  </si>
  <si>
    <r>
      <rPr>
        <sz val="9"/>
        <color theme="1"/>
        <rFont val="맑은 고딕"/>
        <family val="3"/>
        <charset val="129"/>
      </rPr>
      <t>화</t>
    </r>
  </si>
  <si>
    <t>Type a number between 0% and 100% in "%Work Complete" field of row number {1} in the {2} sheet.</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</si>
  <si>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</si>
  <si>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t>UI Design</t>
  </si>
  <si>
    <r>
      <rPr>
        <sz val="9"/>
        <color theme="1"/>
        <rFont val="맑은 고딕"/>
        <family val="3"/>
        <charset val="129"/>
      </rPr>
      <t>화면설계</t>
    </r>
  </si>
  <si>
    <t>Unable to open file. Please change the "Check if you save deliverables in specific directory" option to the checked state in the Setting&gt;Deliverables tab.</t>
  </si>
  <si>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</si>
  <si>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t>Update Schedule</t>
  </si>
  <si>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</si>
  <si>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t>Updates</t>
  </si>
  <si>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</si>
  <si>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t>Updating schedule... \nplease wait...</t>
  </si>
  <si>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</si>
  <si>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t>User Defined Calendar 1</t>
  </si>
  <si>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</si>
  <si>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t>User Defined Calendar 2</t>
  </si>
  <si>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</si>
  <si>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t>Variance(Actual-Planned)</t>
  </si>
  <si>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</si>
  <si>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t>WBS Area Display</t>
  </si>
  <si>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</si>
  <si>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t>WBS Level is invalid. Enter a number only. Verify row {} of the source file.</t>
  </si>
  <si>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</si>
  <si>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WBS No.</t>
  </si>
  <si>
    <t>WBS title - auto calculated field</t>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</si>
  <si>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</si>
  <si>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t>WBS title - input field</t>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</si>
  <si>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</si>
  <si>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t>WBS,Gantt Chart</t>
  </si>
  <si>
    <t>Wed</t>
  </si>
  <si>
    <r>
      <rPr>
        <sz val="9"/>
        <color theme="1"/>
        <rFont val="맑은 고딕"/>
        <family val="3"/>
        <charset val="129"/>
      </rPr>
      <t>수</t>
    </r>
  </si>
  <si>
    <t>Week Numbers Display</t>
    <phoneticPr fontId="1" type="noConversion"/>
  </si>
  <si>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</si>
  <si>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t>Weekly</t>
  </si>
  <si>
    <r>
      <rPr>
        <sz val="9"/>
        <color theme="1"/>
        <rFont val="맑은 고딕"/>
        <family val="3"/>
        <charset val="129"/>
      </rPr>
      <t>주별</t>
    </r>
  </si>
  <si>
    <t>Weekly view</t>
  </si>
  <si>
    <r>
      <rPr>
        <sz val="9"/>
        <color theme="1"/>
        <rFont val="맑은 고딕"/>
        <family val="3"/>
        <charset val="129"/>
      </rPr>
      <t>주별보기</t>
    </r>
  </si>
  <si>
    <t>Weeks</t>
  </si>
  <si>
    <r>
      <rPr>
        <sz val="9"/>
        <color theme="1"/>
        <rFont val="맑은 고딕"/>
        <family val="3"/>
        <charset val="129"/>
      </rPr>
      <t>가중치</t>
    </r>
  </si>
  <si>
    <t>Weight is invalid.</t>
  </si>
  <si>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</si>
  <si>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t>Weight must be greater than zero.</t>
  </si>
  <si>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</si>
  <si>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t>When managing schedule changes</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</si>
  <si>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</si>
  <si>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t>When not managing schedule changes</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</si>
  <si>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</si>
  <si>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</si>
  <si>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</si>
  <si>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t>Word</t>
  </si>
  <si>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</si>
  <si>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</si>
  <si>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t>Workload Data</t>
    <phoneticPr fontId="1" type="noConversion"/>
  </si>
  <si>
    <t>Workload\n(Man-Day)</t>
  </si>
  <si>
    <t>Workload\n(Man-Month)</t>
  </si>
  <si>
    <t>Workloads</t>
    <phoneticPr fontId="1" type="noConversion"/>
  </si>
  <si>
    <t>Workloads by {}</t>
  </si>
  <si>
    <r>
      <t>Workload</t>
    </r>
    <r>
      <rPr>
        <sz val="9"/>
        <color theme="1"/>
        <rFont val="맑은 고딕"/>
        <family val="3"/>
        <charset val="129"/>
      </rPr>
      <t>현황</t>
    </r>
    <r>
      <rPr>
        <sz val="9"/>
        <color theme="1"/>
        <rFont val="Calibri"/>
        <family val="2"/>
      </rPr>
      <t>({})</t>
    </r>
  </si>
  <si>
    <t>Workloads by Months</t>
  </si>
  <si>
    <r>
      <t>Workload(</t>
    </r>
    <r>
      <rPr>
        <sz val="9"/>
        <color theme="1"/>
        <rFont val="맑은 고딕"/>
        <family val="3"/>
        <charset val="129"/>
      </rPr>
      <t>월별</t>
    </r>
    <r>
      <rPr>
        <sz val="9"/>
        <color theme="1"/>
        <rFont val="Calibri"/>
        <family val="2"/>
      </rPr>
      <t>)</t>
    </r>
  </si>
  <si>
    <t>Workloads by Resouces</t>
  </si>
  <si>
    <r>
      <t>Workload(</t>
    </r>
    <r>
      <rPr>
        <sz val="9"/>
        <color theme="1"/>
        <rFont val="맑은 고딕"/>
        <family val="3"/>
        <charset val="129"/>
      </rPr>
      <t>담당별</t>
    </r>
    <r>
      <rPr>
        <sz val="9"/>
        <color theme="1"/>
        <rFont val="Calibri"/>
        <family val="2"/>
      </rPr>
      <t>)</t>
    </r>
  </si>
  <si>
    <t>Workloads by Weeks</t>
  </si>
  <si>
    <r>
      <t>Workload(</t>
    </r>
    <r>
      <rPr>
        <sz val="9"/>
        <color theme="1"/>
        <rFont val="맑은 고딕"/>
        <family val="3"/>
        <charset val="129"/>
      </rPr>
      <t>주별</t>
    </r>
    <r>
      <rPr>
        <sz val="9"/>
        <color theme="1"/>
        <rFont val="Calibri"/>
        <family val="2"/>
      </rPr>
      <t>)</t>
    </r>
  </si>
  <si>
    <t>Worloads by Resources</t>
  </si>
  <si>
    <t>Would you like to update the schedule before saving?</t>
    <phoneticPr fontId="3" type="noConversion"/>
  </si>
  <si>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</si>
  <si>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t>XLGantt  - Project Scheduler</t>
    <phoneticPr fontId="1"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</si>
  <si>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</si>
  <si>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t>XLGantt Version {} Terms of Use</t>
    <phoneticPr fontId="1" type="noConversion"/>
  </si>
  <si>
    <r>
      <t xml:space="preserve">XLGantt Version {} </t>
    </r>
    <r>
      <rPr>
        <sz val="9"/>
        <color theme="1"/>
        <rFont val="맑은 고딕"/>
        <family val="3"/>
        <charset val="129"/>
      </rPr>
      <t>사용조건</t>
    </r>
    <phoneticPr fontId="1" type="noConversion"/>
  </si>
  <si>
    <t>XLGantt Version Check</t>
  </si>
  <si>
    <t>You are using the latest version of XLGantt.\nCurrent Verison : {}</t>
  </si>
  <si>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</si>
  <si>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t>You can add "Outlook Appointments" only on the {} sheet.</t>
  </si>
  <si>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</si>
  <si>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t>You can add "Outlook Tasks" only on the {} sheet.</t>
  </si>
  <si>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</si>
  <si>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</si>
  <si>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edit task only on the {} sheet.</t>
  </si>
  <si>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</si>
  <si>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</si>
  <si>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indent or outdent tasks only on the {} sheet.</t>
  </si>
  <si>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</si>
  <si>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t>You can not add "Outlook Appointments" in the selected area.</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</si>
  <si>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</si>
  <si>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add "Outlook Tasks" in the selected area.</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</si>
  <si>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</si>
  <si>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add a column between column A and C because the range is reserved by XLGantt.</t>
  </si>
  <si>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</si>
  <si>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edit a task in the selected area.</t>
  </si>
  <si>
    <t>You can not enter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</si>
  <si>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</si>
  <si>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t>You can not indent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</si>
  <si>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</si>
  <si>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indent or outdent the selected row.</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</si>
  <si>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</si>
  <si>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outdent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</si>
  <si>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</si>
  <si>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use "Microsoft Outlook". \nMake sure you properly installed it.</t>
  </si>
  <si>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</si>
  <si>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t>You can open deliverables only on the {} Sheet.</t>
  </si>
  <si>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</si>
  <si>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use only start and finish dates. So you can not manage schedule changes.</t>
  </si>
  <si>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</si>
  <si>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</si>
  <si>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</si>
  <si>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t>You can't choose a field that is empty.</t>
  </si>
  <si>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</si>
  <si>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</si>
  <si>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</si>
  <si>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t>You can't remove the default languages(English and Korean).</t>
  </si>
  <si>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</si>
  <si>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didn't choose a language.</t>
  </si>
  <si>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</si>
  <si>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 source field.</t>
  </si>
  <si>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</si>
  <si>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 target field.</t>
  </si>
  <si>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</si>
  <si>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an unmap item.</t>
  </si>
  <si>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</si>
  <si>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selected {} areas. Please select only one area.</t>
  </si>
  <si>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</si>
  <si>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t>Date</t>
    <phoneticPr fontId="1" type="noConversion"/>
  </si>
  <si>
    <r>
      <rPr>
        <sz val="9"/>
        <color theme="1"/>
        <rFont val="맑은 고딕"/>
        <family val="3"/>
        <charset val="129"/>
      </rPr>
      <t>날짜</t>
    </r>
    <phoneticPr fontId="1" type="noConversion"/>
  </si>
  <si>
    <t>Day</t>
    <phoneticPr fontId="1" type="noConversion"/>
  </si>
  <si>
    <r>
      <rPr>
        <sz val="9"/>
        <color theme="1"/>
        <rFont val="맑은 고딕"/>
        <family val="3"/>
        <charset val="129"/>
      </rPr>
      <t>요일</t>
    </r>
    <phoneticPr fontId="1" type="noConversion"/>
  </si>
  <si>
    <t>Display date or day on the timescale</t>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</si>
  <si>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</si>
  <si>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t>Align WBS Column</t>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</si>
  <si>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</si>
  <si>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t>Left</t>
    <phoneticPr fontId="1" type="noConversion"/>
  </si>
  <si>
    <r>
      <rPr>
        <sz val="9"/>
        <color theme="1"/>
        <rFont val="맑은 고딕"/>
        <family val="3"/>
        <charset val="129"/>
      </rPr>
      <t>왼쪽</t>
    </r>
    <phoneticPr fontId="1" type="noConversion"/>
  </si>
  <si>
    <t>Center</t>
    <phoneticPr fontId="1" type="noConversion"/>
  </si>
  <si>
    <r>
      <rPr>
        <sz val="9"/>
        <color theme="1"/>
        <rFont val="맑은 고딕"/>
        <family val="3"/>
        <charset val="129"/>
      </rPr>
      <t>가운데</t>
    </r>
    <phoneticPr fontId="1" type="noConversion"/>
  </si>
  <si>
    <t>Right</t>
    <phoneticPr fontId="1" type="noConversion"/>
  </si>
  <si>
    <r>
      <rPr>
        <sz val="9"/>
        <color theme="1"/>
        <rFont val="맑은 고딕"/>
        <family val="3"/>
        <charset val="129"/>
      </rPr>
      <t>오른쪽</t>
    </r>
    <phoneticPr fontId="1" type="noConversion"/>
  </si>
  <si>
    <t>The same field name exists.</t>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</si>
  <si>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</si>
  <si>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t>Select Formula Cells</t>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</si>
  <si>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</si>
  <si>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t>Average number of working days per month</t>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</si>
  <si>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</si>
  <si>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t>Free space in the print area</t>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</si>
  <si>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</si>
  <si>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t>Automatically adjust height of Schedule sheet rows 1-4</t>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</si>
  <si>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</si>
  <si>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t>Program error has occurred.</t>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</si>
  <si>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</si>
  <si>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</si>
  <si>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</si>
  <si>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작업량 계산 방식을 선택할 수 있다.</t>
    <phoneticPr fontId="1" type="noConversion"/>
  </si>
  <si>
    <t>엑셀간트의 모양과 색상을 지정할 수 있다.</t>
    <phoneticPr fontId="1" type="noConversion"/>
  </si>
  <si>
    <t>작업 의존관계 설정</t>
    <phoneticPr fontId="1" type="noConversion"/>
  </si>
  <si>
    <t>작업 의존관계(FS,SS,FF,SF)를 설정할 수 있다.</t>
    <phoneticPr fontId="1" type="noConversion"/>
  </si>
  <si>
    <t>https://xlworks.io/xlgantt-howto-16-task-dependencies/</t>
    <phoneticPr fontId="1" type="noConversion"/>
  </si>
  <si>
    <t>https://xlworks.net/xlgantt-howto-16-task-dependencies/</t>
    <phoneticPr fontId="1" type="noConversion"/>
  </si>
  <si>
    <t>wbsLevel</t>
  </si>
  <si>
    <t>wbs</t>
  </si>
  <si>
    <t>wbsLevel01</t>
  </si>
  <si>
    <t>wbsLevel02</t>
  </si>
  <si>
    <t>wbsLevel03</t>
  </si>
  <si>
    <t>wbsLevel04</t>
  </si>
  <si>
    <t>wbsLevel05</t>
  </si>
  <si>
    <t>wbsLevel06</t>
  </si>
  <si>
    <t>wbsLevel07</t>
  </si>
  <si>
    <t>wbsLevel08</t>
  </si>
  <si>
    <t>wbsLevel09</t>
  </si>
  <si>
    <t>wbsLevel10</t>
  </si>
  <si>
    <t>task</t>
  </si>
  <si>
    <t>resource</t>
  </si>
  <si>
    <t>start</t>
  </si>
  <si>
    <t>finish</t>
  </si>
  <si>
    <t>timebucketStart</t>
  </si>
  <si>
    <t>timebucketFinish</t>
  </si>
  <si>
    <t>weekNumber</t>
  </si>
  <si>
    <t>projectWeekNumber</t>
  </si>
  <si>
    <t>totalWorkload</t>
  </si>
  <si>
    <t>planWorkload</t>
  </si>
  <si>
    <t>resourceWeight</t>
  </si>
  <si>
    <t>resourceAssignRate</t>
  </si>
  <si>
    <t>planRate</t>
  </si>
  <si>
    <t>actualRate</t>
  </si>
  <si>
    <t>actualStart</t>
  </si>
  <si>
    <t>actualFinish</t>
  </si>
  <si>
    <t>earnedValue</t>
  </si>
  <si>
    <t>actualWorkload</t>
  </si>
  <si>
    <t>3</t>
  </si>
  <si>
    <t>Define scope</t>
  </si>
  <si>
    <t>Elsa</t>
  </si>
  <si>
    <t>Confirm scope</t>
  </si>
  <si>
    <t>(Resources unspecified)</t>
  </si>
  <si>
    <t>Benchmarking</t>
  </si>
  <si>
    <t>Workshop</t>
  </si>
  <si>
    <t>Design Database</t>
  </si>
  <si>
    <t>Design UI</t>
  </si>
  <si>
    <t>Coding</t>
  </si>
  <si>
    <t>Unit test</t>
  </si>
  <si>
    <t>Mike</t>
  </si>
  <si>
    <t>System test</t>
  </si>
  <si>
    <t>UAT(User Acceptance Test)</t>
  </si>
  <si>
    <t>Bob</t>
  </si>
  <si>
    <t>ITEM_GROUP</t>
    <phoneticPr fontId="1" type="noConversion"/>
  </si>
  <si>
    <t>ITEM</t>
  </si>
  <si>
    <t>VALUE1</t>
  </si>
  <si>
    <t>VALUE2</t>
  </si>
  <si>
    <t>VALUE3</t>
  </si>
  <si>
    <t>INSERTED_DATE</t>
    <phoneticPr fontId="3" type="noConversion"/>
  </si>
  <si>
    <t>UPDATED_DATE</t>
    <phoneticPr fontId="3" type="noConversion"/>
  </si>
  <si>
    <t>DESCRIPTION</t>
    <phoneticPr fontId="3" type="noConversion"/>
  </si>
  <si>
    <t>CM</t>
  </si>
  <si>
    <t>COMPANY</t>
    <phoneticPr fontId="3" type="noConversion"/>
  </si>
  <si>
    <t>XLWorks</t>
    <phoneticPr fontId="3" type="noConversion"/>
  </si>
  <si>
    <t>DO NOT UPDATE</t>
    <phoneticPr fontId="3" type="noConversion"/>
  </si>
  <si>
    <t>AUTHOR_NAME</t>
    <phoneticPr fontId="3" type="noConversion"/>
  </si>
  <si>
    <t>AUTHOR_EMAIL</t>
    <phoneticPr fontId="3" type="noConversion"/>
  </si>
  <si>
    <t>admin@xlworks.net</t>
    <phoneticPr fontId="3" type="noConversion"/>
  </si>
  <si>
    <t>PROGRAM_NAME</t>
    <phoneticPr fontId="3" type="noConversion"/>
  </si>
  <si>
    <t>XLGantt</t>
  </si>
  <si>
    <t>PROGRAM_SITE</t>
    <phoneticPr fontId="3" type="noConversion"/>
  </si>
  <si>
    <t>https://xlworks.io/xlgantt-project-scheduler/</t>
    <phoneticPr fontId="3" type="noConversion"/>
  </si>
  <si>
    <t>PROGRAM_SITE_DISP</t>
    <phoneticPr fontId="3" type="noConversion"/>
  </si>
  <si>
    <t>VERSION</t>
    <phoneticPr fontId="3" type="noConversion"/>
  </si>
  <si>
    <t>5.0.0</t>
    <phoneticPr fontId="1" type="noConversion"/>
  </si>
  <si>
    <t>{"TASK_FIRST_COL":"5","START_ROW":"5","WBS_AREA_LAST_COL":"31"}</t>
  </si>
  <si>
    <t>DO NOT UPDATE, DO NOT MOVE ROW 8 TO ANOTHER ROW</t>
    <phoneticPr fontId="3" type="noConversion"/>
  </si>
  <si>
    <t>RELEASE_DATE</t>
    <phoneticPr fontId="3" type="noConversion"/>
  </si>
  <si>
    <t>LICENSE</t>
    <phoneticPr fontId="3" type="noConversion"/>
  </si>
  <si>
    <t>Freeware</t>
    <phoneticPr fontId="3" type="noConversion"/>
  </si>
  <si>
    <t>OG</t>
    <phoneticPr fontId="1" type="noConversion"/>
  </si>
  <si>
    <t>chkAutoAdjustHeightRow1_4</t>
  </si>
  <si>
    <t>chkAutoAdjustHeightRow1_5</t>
  </si>
  <si>
    <t>chkCheckForUpdatesOnStartup</t>
  </si>
  <si>
    <t>chkImportDataOnStartup</t>
  </si>
  <si>
    <t>chkWBSUpdateExecuteYN</t>
  </si>
  <si>
    <t>isConfirmedProjectBasicInfo</t>
  </si>
  <si>
    <t>optFirstDayOfWeek</t>
  </si>
  <si>
    <t>optNonWorkingDays</t>
  </si>
  <si>
    <t>optPlanRateCriteriaDate</t>
  </si>
  <si>
    <t>TODAY</t>
    <phoneticPr fontId="1" type="noConversion"/>
  </si>
  <si>
    <t>optRecalcWBSArea</t>
  </si>
  <si>
    <t>optScheduleChangeMgt</t>
  </si>
  <si>
    <t>optWeekNum</t>
  </si>
  <si>
    <t>optWorkloadCalcByResourceAssignRate</t>
  </si>
  <si>
    <t>projectEndDate</t>
  </si>
  <si>
    <t>projectName</t>
  </si>
  <si>
    <t>Project XYZ</t>
    <phoneticPr fontId="1" type="noConversion"/>
  </si>
  <si>
    <t>projectStartDate</t>
  </si>
  <si>
    <t>scheduleSheetPosition</t>
  </si>
  <si>
    <t>SCHEDULE_SHEET_POSITION:3545151617181920212223242526272829303132</t>
  </si>
  <si>
    <t>setTaskDateToProjectDate</t>
  </si>
  <si>
    <t>txtAvgWorkingdays</t>
  </si>
  <si>
    <t>txtPrintSpace</t>
  </si>
  <si>
    <t>OG</t>
  </si>
  <si>
    <t>XLGanttFileCalcMode</t>
  </si>
  <si>
    <t>OW</t>
    <phoneticPr fontId="1" type="noConversion"/>
  </si>
  <si>
    <t>actualRateDisp</t>
  </si>
  <si>
    <t>applyUserInputFirst</t>
  </si>
  <si>
    <t>cbxColorTheme</t>
  </si>
  <si>
    <t>chkProjectWeekNumDispOverTimescale</t>
  </si>
  <si>
    <t>chkYearDispOverTimescale</t>
  </si>
  <si>
    <t>completeTaskGrayDisplay</t>
  </si>
  <si>
    <t>dateDisp</t>
  </si>
  <si>
    <t>dateDispOnTimescale</t>
  </si>
  <si>
    <t>ganttColWidth</t>
  </si>
  <si>
    <t>groupRows</t>
  </si>
  <si>
    <t>groupTaskInteriorGrayDisplay</t>
  </si>
  <si>
    <t>optAlignWBSColumn</t>
  </si>
  <si>
    <t>optGanttChartColumnDisplay</t>
  </si>
  <si>
    <t>plannedRateDisp</t>
  </si>
  <si>
    <t>resourceDisp</t>
  </si>
  <si>
    <t>taskDisp</t>
  </si>
  <si>
    <t>taskDispInGroup</t>
  </si>
  <si>
    <t>taskDispInSub</t>
  </si>
  <si>
    <t>taskNameDisplayPosition</t>
  </si>
  <si>
    <t>themeColorList</t>
  </si>
  <si>
    <t>10066176;10066176;26367;8421504;26367;8421504;16764108;16737792;65280;16737792;13311;65280;14540253;255</t>
  </si>
  <si>
    <t>txtGanttChartZoomRatio</t>
  </si>
  <si>
    <t>txtNumberOfTaskColumn</t>
  </si>
  <si>
    <t>OD</t>
    <phoneticPr fontId="1" type="noConversion"/>
  </si>
  <si>
    <t>chkDeliverablesMgt</t>
  </si>
  <si>
    <t>savePathType</t>
  </si>
  <si>
    <t>DEFINED</t>
    <phoneticPr fontId="1" type="noConversion"/>
  </si>
  <si>
    <t>txtAutoDefinedBasePath</t>
  </si>
  <si>
    <t>C:\Temp</t>
    <phoneticPr fontId="1" type="noConversion"/>
  </si>
  <si>
    <t>txtDefinedPath</t>
  </si>
  <si>
    <t>OL</t>
    <phoneticPr fontId="1" type="noConversion"/>
  </si>
  <si>
    <t>languageSelectedByManual</t>
  </si>
  <si>
    <t>languageSelectionType</t>
  </si>
  <si>
    <t>lastTranslatedLanguage</t>
  </si>
  <si>
    <t>selectedLanguageList</t>
  </si>
  <si>
    <t>1:English,82:Korean,999:Custom</t>
    <phoneticPr fontId="1" type="noConversion"/>
  </si>
  <si>
    <t>OP</t>
    <phoneticPr fontId="1" type="noConversion"/>
  </si>
  <si>
    <t>chkInclude2SelectList1</t>
  </si>
  <si>
    <t>chkInclude2SelectList2</t>
  </si>
  <si>
    <t>chkInclude2SelectList3</t>
  </si>
  <si>
    <t>chkInclude2SelectList4</t>
  </si>
  <si>
    <t>chkInclude2SelectList5</t>
  </si>
  <si>
    <t>chkInclude2SelectList6</t>
  </si>
  <si>
    <t>chkInclude2SelectList7</t>
  </si>
  <si>
    <t>chkInclude2SelectList8</t>
  </si>
  <si>
    <t>txtFileExt1</t>
  </si>
  <si>
    <t>ppt*</t>
    <phoneticPr fontId="1" type="noConversion"/>
  </si>
  <si>
    <t>txtFileExt2</t>
  </si>
  <si>
    <t>doc*</t>
    <phoneticPr fontId="1" type="noConversion"/>
  </si>
  <si>
    <t>txtFileExt3</t>
  </si>
  <si>
    <t>xls*</t>
    <phoneticPr fontId="1" type="noConversion"/>
  </si>
  <si>
    <t>txtFileExt4</t>
  </si>
  <si>
    <t>dwg</t>
    <phoneticPr fontId="1" type="noConversion"/>
  </si>
  <si>
    <t>txtFileExt5</t>
  </si>
  <si>
    <t>txt</t>
    <phoneticPr fontId="1" type="noConversion"/>
  </si>
  <si>
    <t>txtFileExt6</t>
  </si>
  <si>
    <t>pdf</t>
    <phoneticPr fontId="1" type="noConversion"/>
  </si>
  <si>
    <t>txtFileExt7</t>
  </si>
  <si>
    <t>txtFileExt8</t>
  </si>
  <si>
    <t>txtPgmName1</t>
  </si>
  <si>
    <t>Powerpoint</t>
    <phoneticPr fontId="1" type="noConversion"/>
  </si>
  <si>
    <t>txtPgmName2</t>
  </si>
  <si>
    <t>Word</t>
    <phoneticPr fontId="1" type="noConversion"/>
  </si>
  <si>
    <t>txtPgmName3</t>
  </si>
  <si>
    <t>Excel</t>
    <phoneticPr fontId="1" type="noConversion"/>
  </si>
  <si>
    <t>txtPgmName4</t>
  </si>
  <si>
    <t>AutoCAD</t>
    <phoneticPr fontId="1" type="noConversion"/>
  </si>
  <si>
    <t>txtPgmName5</t>
  </si>
  <si>
    <t>Notepad</t>
    <phoneticPr fontId="1" type="noConversion"/>
  </si>
  <si>
    <t>txtPgmName6</t>
  </si>
  <si>
    <t>PDF</t>
    <phoneticPr fontId="1" type="noConversion"/>
  </si>
  <si>
    <t>txtPgmName7</t>
  </si>
  <si>
    <t>txtPgmName8</t>
  </si>
  <si>
    <t>txtPgmPath1</t>
  </si>
  <si>
    <t>Automatically defined</t>
    <phoneticPr fontId="1" type="noConversion"/>
  </si>
  <si>
    <t>txtPgmPath2</t>
  </si>
  <si>
    <t>txtPgmPath3</t>
  </si>
  <si>
    <t>txtPgmPath4</t>
  </si>
  <si>
    <t>C:\Program Files\Autodesk\AutoCAD 2019\acad.exe</t>
    <phoneticPr fontId="1" type="noConversion"/>
  </si>
  <si>
    <t>txtPgmPath5</t>
  </si>
  <si>
    <t>C:\WINDOWS\system32\notepad.exe</t>
    <phoneticPr fontId="1" type="noConversion"/>
  </si>
  <si>
    <t>txtPgmPath6</t>
  </si>
  <si>
    <t>C:\Program Files\Adobe\Acrobat DC\Acrobat\acrobat.exe</t>
    <phoneticPr fontId="1" type="noConversion"/>
  </si>
  <si>
    <t>txtPgmPath7</t>
  </si>
  <si>
    <t>txtPgmPath8</t>
  </si>
  <si>
    <t>FS</t>
  </si>
  <si>
    <t>optAll</t>
  </si>
  <si>
    <t>optAllPercentWorkComplete</t>
    <phoneticPr fontId="1" type="noConversion"/>
  </si>
  <si>
    <t>optCompleted</t>
  </si>
  <si>
    <t>optDefinedDuration</t>
  </si>
  <si>
    <t>optDefinedPercentValue</t>
  </si>
  <si>
    <t>optExactMatch</t>
  </si>
  <si>
    <t>optLike</t>
  </si>
  <si>
    <t>optNotCompleted</t>
  </si>
  <si>
    <t>optThisMonth</t>
  </si>
  <si>
    <t>optThisWeek</t>
  </si>
  <si>
    <t>optToday</t>
  </si>
  <si>
    <t>txtPercentFrom</t>
  </si>
  <si>
    <t>txtPercentTo</t>
  </si>
  <si>
    <t>txtResource</t>
  </si>
  <si>
    <t>txtTaskEndDate</t>
  </si>
  <si>
    <t>txtTaskStartDate</t>
  </si>
  <si>
    <t>CVM</t>
  </si>
  <si>
    <t>Setup development tools (MySQL, GIT. VSCode, Intelij, DBeaver)</t>
  </si>
  <si>
    <t>Current CVM system (AS-IS) analysis</t>
  </si>
  <si>
    <t>CVM System inspection (functions, flow..)</t>
  </si>
  <si>
    <t>https://app.visily.ai/projects/9d40a0d7-85f4-433a-b197-31537d523a7f/boards/1392768</t>
  </si>
  <si>
    <t>Actual_x000D_
Total Work</t>
  </si>
  <si>
    <t>1.4.2.4.12</t>
  </si>
  <si>
    <t>1.4.3.4.10</t>
  </si>
  <si>
    <t>Screen design</t>
  </si>
  <si>
    <t>Database designing</t>
  </si>
  <si>
    <t>1.3.3.7.1</t>
  </si>
  <si>
    <t>1.3.3.7.2</t>
  </si>
  <si>
    <t>1.3.3.7.3</t>
  </si>
  <si>
    <t>1.3.3.10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</si>
</sst>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_);[Red]\(0\)"/>
    <numFmt numFmtId="165" formatCode="0.0"/>
    <numFmt numFmtId="166" formatCode="0.0_);[Red]\(0.0\)"/>
    <numFmt numFmtId="167" formatCode="0.00_);[Red]\(0.00\)"/>
    <numFmt numFmtId="168" formatCode="yyyy\-mm\-dd"/>
  </numFmts>
  <fonts count="60">
    <font>
      <sz val="11"/>
      <color theme="1"/>
      <name val="Calibri"/>
      <family val="2"/>
      <scheme val="minor"/>
    </font>
    <font>
      <sz val="8"/>
      <name val="Calibri"/>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Calibri"/>
      <family val="3"/>
      <charset val="129"/>
      <scheme val="minor"/>
    </font>
    <font>
      <sz val="9"/>
      <color theme="0"/>
      <name val="Calibri"/>
      <family val="3"/>
      <charset val="129"/>
      <scheme val="minor"/>
    </font>
    <font>
      <sz val="9"/>
      <name val="Calibri"/>
      <family val="3"/>
      <charset val="129"/>
      <scheme val="minor"/>
    </font>
    <font>
      <sz val="12"/>
      <color rgb="FF222222"/>
      <name val="Calibri"/>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Calibri"/>
      <family val="3"/>
      <charset val="129"/>
      <scheme val="minor"/>
    </font>
    <font>
      <b/>
      <sz val="12"/>
      <color rgb="FF0070C0"/>
      <name val="Calibri"/>
      <family val="3"/>
      <charset val="129"/>
      <scheme val="minor"/>
    </font>
    <font>
      <b/>
      <sz val="14"/>
      <color rgb="FF0070C0"/>
      <name val="Calibri"/>
      <family val="3"/>
      <charset val="129"/>
      <scheme val="minor"/>
    </font>
    <font>
      <sz val="11"/>
      <color rgb="FF0070C0"/>
      <name val="Calibri"/>
      <family val="3"/>
      <charset val="129"/>
      <scheme val="minor"/>
    </font>
    <font>
      <b/>
      <sz val="10"/>
      <color rgb="FF0070C0"/>
      <name val="Calibri"/>
      <family val="3"/>
      <charset val="129"/>
      <scheme val="minor"/>
    </font>
    <font>
      <sz val="9"/>
      <color rgb="FF0070C0"/>
      <name val="Calibri"/>
      <family val="3"/>
      <charset val="129"/>
      <scheme val="minor"/>
    </font>
    <font>
      <b/>
      <sz val="9"/>
      <color rgb="FF0070C0"/>
      <name val="Calibri"/>
      <family val="3"/>
      <charset val="129"/>
      <scheme val="minor"/>
    </font>
    <font>
      <b/>
      <sz val="9"/>
      <color rgb="FFFF8800"/>
      <name val="Calibri"/>
      <family val="2"/>
    </font>
    <font>
      <b/>
      <sz val="10"/>
      <color theme="10"/>
      <name val="Calibri"/>
      <family val="2"/>
    </font>
    <font>
      <sz val="11"/>
      <color theme="1"/>
      <name val="Calibri"/>
      <family val="2"/>
      <scheme val="minor"/>
    </font>
    <font>
      <b/>
      <sz val="20"/>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Calibri"/>
      <family val="3"/>
      <charset val="129"/>
      <scheme val="minor"/>
    </font>
    <font>
      <sz val="9"/>
      <name val="Calibri"/>
      <family val="2"/>
      <scheme val="minor"/>
    </font>
    <font>
      <sz val="9"/>
      <color rgb="FFFF8800"/>
      <name val="Calibri"/>
      <family val="2"/>
      <scheme val="minor"/>
    </font>
    <font>
      <sz val="8"/>
      <color theme="0"/>
      <name val="Calibri"/>
      <family val="2"/>
      <scheme val="minor"/>
    </font>
    <font>
      <sz val="8"/>
      <color rgb="FFFF8800"/>
      <name val="Calibri"/>
      <family val="2"/>
      <scheme val="minor"/>
    </font>
    <font>
      <b/>
      <sz val="9"/>
      <name val="Calibri"/>
      <family val="2"/>
      <scheme val="minor"/>
    </font>
    <font>
      <sz val="11"/>
      <name val="돋움"/>
      <family val="3"/>
      <charset val="129"/>
    </font>
    <font>
      <sz val="9"/>
      <color rgb="FFFF0000"/>
      <name val="Calibri"/>
      <family val="3"/>
      <charset val="129"/>
      <scheme val="minor"/>
    </font>
    <font>
      <strike/>
      <sz val="9"/>
      <color rgb="FFFF0000"/>
      <name val="Calibri"/>
      <family val="3"/>
      <charset val="129"/>
      <scheme val="minor"/>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7" fillId="0" borderId="0"/>
  </cellStyleXfs>
  <cellXfs count="328">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64"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67"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67"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64"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66"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66" fontId="33" fillId="16" borderId="0" xfId="0" applyNumberFormat="1" applyFont="1" applyFill="1" applyAlignment="1">
      <alignment horizontal="center" vertical="top"/>
    </xf>
    <xf numFmtId="166" fontId="29" fillId="16" borderId="0" xfId="0" applyNumberFormat="1" applyFont="1" applyFill="1" applyAlignment="1">
      <alignment horizontal="center" vertical="top"/>
    </xf>
    <xf numFmtId="166"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66" fontId="18" fillId="0" borderId="23" xfId="0" applyNumberFormat="1" applyFont="1" applyBorder="1" applyAlignment="1" applyProtection="1">
      <alignment horizontal="center" vertical="top"/>
      <protection locked="0"/>
    </xf>
    <xf numFmtId="165"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66" fontId="18" fillId="0" borderId="5" xfId="0" applyNumberFormat="1" applyFont="1" applyBorder="1" applyAlignment="1" applyProtection="1">
      <alignment horizontal="center" vertical="top"/>
      <protection locked="0"/>
    </xf>
    <xf numFmtId="165"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66" fontId="18" fillId="0" borderId="24" xfId="0" applyNumberFormat="1"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39"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0" fontId="8" fillId="20" borderId="0" xfId="0" applyFont="1" applyFill="1" applyAlignment="1">
      <alignment vertical="top"/>
    </xf>
    <xf numFmtId="0" fontId="8" fillId="20" borderId="0" xfId="0" applyFont="1" applyFill="1" applyAlignment="1">
      <alignment horizontal="left" vertical="top"/>
    </xf>
    <xf numFmtId="0" fontId="42" fillId="3" borderId="1" xfId="0" applyFont="1" applyFill="1" applyBorder="1" applyAlignment="1">
      <alignment horizontal="center" vertical="center"/>
    </xf>
    <xf numFmtId="0" fontId="42" fillId="3" borderId="1" xfId="0" applyFont="1" applyFill="1" applyBorder="1" applyAlignment="1">
      <alignment horizontal="center" vertical="center" wrapText="1"/>
    </xf>
    <xf numFmtId="0" fontId="43" fillId="0" borderId="0" xfId="0" applyFont="1" applyAlignment="1">
      <alignment vertical="top"/>
    </xf>
    <xf numFmtId="0" fontId="43" fillId="0" borderId="0" xfId="0" applyFont="1" applyAlignment="1">
      <alignment horizontal="center" vertical="top"/>
    </xf>
    <xf numFmtId="0" fontId="44" fillId="0" borderId="0" xfId="0" applyFont="1" applyAlignment="1">
      <alignment vertical="top"/>
    </xf>
    <xf numFmtId="0" fontId="43" fillId="0" borderId="0" xfId="0" applyFont="1" applyAlignment="1">
      <alignment vertical="top" wrapText="1"/>
    </xf>
    <xf numFmtId="0" fontId="43" fillId="0" borderId="0" xfId="0" applyFont="1" applyAlignment="1">
      <alignment horizontal="left" vertical="top" wrapText="1"/>
    </xf>
    <xf numFmtId="0" fontId="43" fillId="0" borderId="0" xfId="0" applyFont="1" applyAlignment="1">
      <alignment horizontal="left" vertical="top"/>
    </xf>
    <xf numFmtId="0" fontId="44" fillId="0" borderId="0" xfId="0" applyFont="1" applyAlignment="1">
      <alignment horizontal="left" vertical="top"/>
    </xf>
    <xf numFmtId="14" fontId="43" fillId="0" borderId="0" xfId="0" applyNumberFormat="1" applyFont="1" applyAlignment="1">
      <alignment horizontal="left" vertical="top" wrapText="1"/>
    </xf>
    <xf numFmtId="0" fontId="43" fillId="0" borderId="0" xfId="0" applyFont="1"/>
    <xf numFmtId="0" fontId="41" fillId="0" borderId="0" xfId="0" applyFont="1" applyAlignment="1">
      <alignment horizontal="left" vertical="top"/>
    </xf>
    <xf numFmtId="0" fontId="44" fillId="0" borderId="0" xfId="0" applyFont="1" applyAlignment="1">
      <alignment horizontal="left" vertical="top" wrapText="1"/>
    </xf>
    <xf numFmtId="0" fontId="46"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48" fillId="0" borderId="0" xfId="0" applyFont="1" applyAlignment="1">
      <alignment vertical="top" wrapText="1"/>
    </xf>
    <xf numFmtId="0" fontId="49" fillId="0" borderId="0" xfId="0" applyFont="1" applyAlignment="1">
      <alignment vertical="top" wrapText="1"/>
    </xf>
    <xf numFmtId="0" fontId="7" fillId="0" borderId="10" xfId="0" applyFont="1" applyBorder="1"/>
    <xf numFmtId="0" fontId="7" fillId="0" borderId="31" xfId="0" applyFont="1" applyBorder="1"/>
    <xf numFmtId="0" fontId="50" fillId="0" borderId="0" xfId="0" applyFont="1" applyAlignment="1">
      <alignment vertical="top" wrapText="1"/>
    </xf>
    <xf numFmtId="0" fontId="51" fillId="0" borderId="0" xfId="0" applyFont="1" applyAlignment="1">
      <alignment horizontal="left" vertical="center"/>
    </xf>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14" fontId="7" fillId="0" borderId="10" xfId="0" applyNumberFormat="1" applyFont="1" applyBorder="1"/>
    <xf numFmtId="10" fontId="7" fillId="0" borderId="10" xfId="2" applyNumberFormat="1" applyFont="1" applyBorder="1" applyAlignment="1"/>
    <xf numFmtId="14" fontId="7" fillId="0" borderId="31" xfId="0" applyNumberFormat="1" applyFont="1" applyBorder="1"/>
    <xf numFmtId="10" fontId="7" fillId="0" borderId="31" xfId="2" applyNumberFormat="1" applyFont="1" applyBorder="1" applyAlignment="1"/>
    <xf numFmtId="168" fontId="55" fillId="18" borderId="26" xfId="0" applyNumberFormat="1" applyFont="1" applyFill="1" applyBorder="1" applyAlignment="1">
      <alignment horizontal="center" vertical="center"/>
    </xf>
    <xf numFmtId="168" fontId="55" fillId="18" borderId="27" xfId="0" applyNumberFormat="1" applyFont="1" applyFill="1" applyBorder="1" applyAlignment="1">
      <alignment horizontal="center" vertical="center"/>
    </xf>
    <xf numFmtId="0" fontId="55" fillId="18" borderId="28" xfId="0" applyFont="1" applyFill="1" applyBorder="1" applyAlignment="1">
      <alignment horizontal="left" vertical="center"/>
    </xf>
    <xf numFmtId="10" fontId="52" fillId="16" borderId="23" xfId="2" applyNumberFormat="1" applyFont="1" applyFill="1" applyBorder="1" applyAlignment="1" applyProtection="1">
      <alignment horizontal="right" vertical="top"/>
      <protection locked="0"/>
    </xf>
    <xf numFmtId="10" fontId="52" fillId="21" borderId="23" xfId="2" applyNumberFormat="1" applyFont="1" applyFill="1" applyBorder="1" applyAlignment="1" applyProtection="1">
      <alignment horizontal="right" vertical="top"/>
      <protection locked="0"/>
    </xf>
    <xf numFmtId="10" fontId="56" fillId="21" borderId="23" xfId="2" applyNumberFormat="1" applyFont="1" applyFill="1" applyBorder="1" applyAlignment="1" applyProtection="1">
      <alignment horizontal="right" vertical="top"/>
      <protection locked="0"/>
    </xf>
    <xf numFmtId="10" fontId="56" fillId="16" borderId="23" xfId="2" applyNumberFormat="1" applyFont="1" applyFill="1" applyBorder="1" applyAlignment="1" applyProtection="1">
      <alignment horizontal="right" vertical="top"/>
      <protection locked="0"/>
    </xf>
    <xf numFmtId="0" fontId="56" fillId="6" borderId="23" xfId="3" applyFont="1" applyFill="1" applyBorder="1" applyAlignment="1" applyProtection="1">
      <alignment horizontal="left" vertical="top"/>
      <protection locked="0"/>
    </xf>
    <xf numFmtId="0" fontId="52" fillId="2" borderId="23" xfId="0" applyFont="1" applyFill="1" applyBorder="1" applyAlignment="1" applyProtection="1">
      <alignment horizontal="left" vertical="top"/>
      <protection locked="0"/>
    </xf>
    <xf numFmtId="0" fontId="52" fillId="2" borderId="23" xfId="3" applyFont="1" applyFill="1" applyBorder="1" applyAlignment="1" applyProtection="1">
      <alignment horizontal="left" vertical="top"/>
      <protection locked="0"/>
    </xf>
    <xf numFmtId="14" fontId="52" fillId="2" borderId="23" xfId="0" applyNumberFormat="1" applyFont="1" applyFill="1" applyBorder="1" applyAlignment="1" applyProtection="1">
      <alignment horizontal="center" vertical="top"/>
      <protection locked="0"/>
    </xf>
    <xf numFmtId="0" fontId="52" fillId="0" borderId="23" xfId="0" applyFont="1" applyBorder="1" applyAlignment="1" applyProtection="1">
      <alignment horizontal="left" vertical="top"/>
      <protection locked="0"/>
    </xf>
    <xf numFmtId="0" fontId="52" fillId="6" borderId="23" xfId="3" applyFont="1" applyFill="1" applyBorder="1" applyAlignment="1" applyProtection="1">
      <alignment horizontal="left" vertical="top"/>
      <protection locked="0"/>
    </xf>
    <xf numFmtId="14" fontId="52" fillId="0" borderId="23" xfId="0" applyNumberFormat="1" applyFont="1" applyBorder="1" applyAlignment="1" applyProtection="1">
      <alignment horizontal="center" vertical="top"/>
      <protection locked="0"/>
    </xf>
    <xf numFmtId="0" fontId="18" fillId="0" borderId="23" xfId="3" applyFont="1" applyBorder="1" applyAlignment="1" applyProtection="1">
      <alignment horizontal="left" vertical="top"/>
      <protection locked="0"/>
    </xf>
    <xf numFmtId="0" fontId="18" fillId="0" borderId="23" xfId="0" applyFont="1" applyBorder="1" applyAlignment="1" applyProtection="1">
      <alignment horizontal="left" vertical="top" wrapText="1"/>
      <protection locked="0"/>
    </xf>
    <xf numFmtId="0" fontId="56" fillId="6" borderId="23" xfId="3" quotePrefix="1" applyFont="1" applyFill="1" applyBorder="1" applyAlignment="1" applyProtection="1">
      <alignment horizontal="left" vertical="top"/>
      <protection locked="0"/>
    </xf>
    <xf numFmtId="0" fontId="52" fillId="0" borderId="23" xfId="3" applyFont="1" applyBorder="1" applyAlignment="1" applyProtection="1">
      <alignment horizontal="left" vertical="top"/>
      <protection locked="0"/>
    </xf>
    <xf numFmtId="0" fontId="56" fillId="6"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56" fillId="6" borderId="23" xfId="0" applyFont="1" applyFill="1" applyBorder="1" applyAlignment="1" applyProtection="1">
      <alignment horizontal="left" vertical="top"/>
      <protection locked="0"/>
    </xf>
    <xf numFmtId="14" fontId="56" fillId="6" borderId="23" xfId="0" applyNumberFormat="1" applyFont="1" applyFill="1" applyBorder="1" applyAlignment="1" applyProtection="1">
      <alignment horizontal="center" vertical="top"/>
      <protection locked="0"/>
    </xf>
    <xf numFmtId="166" fontId="52" fillId="2" borderId="23" xfId="0" applyNumberFormat="1" applyFont="1" applyFill="1" applyBorder="1" applyAlignment="1" applyProtection="1">
      <alignment horizontal="center" vertical="top"/>
      <protection locked="0"/>
    </xf>
    <xf numFmtId="165" fontId="52" fillId="2" borderId="23" xfId="0" applyNumberFormat="1" applyFont="1" applyFill="1" applyBorder="1" applyAlignment="1" applyProtection="1">
      <alignment horizontal="center" vertical="top"/>
      <protection locked="0"/>
    </xf>
    <xf numFmtId="1" fontId="52" fillId="2" borderId="23" xfId="0" applyNumberFormat="1" applyFont="1" applyFill="1" applyBorder="1" applyAlignment="1" applyProtection="1">
      <alignment horizontal="center" vertical="top"/>
      <protection locked="0"/>
    </xf>
    <xf numFmtId="14" fontId="52" fillId="2" borderId="23" xfId="0" applyNumberFormat="1" applyFont="1" applyFill="1" applyBorder="1" applyAlignment="1" applyProtection="1">
      <alignment horizontal="left" vertical="top"/>
      <protection locked="0"/>
    </xf>
    <xf numFmtId="10" fontId="52" fillId="2" borderId="23" xfId="2" applyNumberFormat="1" applyFont="1" applyFill="1" applyBorder="1" applyAlignment="1" applyProtection="1">
      <alignment horizontal="right" vertical="top" wrapText="1"/>
      <protection locked="0"/>
    </xf>
    <xf numFmtId="166" fontId="52" fillId="0" borderId="23" xfId="0" applyNumberFormat="1" applyFont="1" applyBorder="1" applyAlignment="1" applyProtection="1">
      <alignment horizontal="center" vertical="top"/>
      <protection locked="0"/>
    </xf>
    <xf numFmtId="165" fontId="52" fillId="0" borderId="23" xfId="0" applyNumberFormat="1" applyFont="1" applyBorder="1" applyAlignment="1" applyProtection="1">
      <alignment horizontal="center" vertical="top"/>
      <protection locked="0"/>
    </xf>
    <xf numFmtId="1" fontId="52" fillId="0" borderId="23" xfId="0" applyNumberFormat="1" applyFont="1" applyBorder="1" applyAlignment="1" applyProtection="1">
      <alignment horizontal="center" vertical="top"/>
      <protection locked="0"/>
    </xf>
    <xf numFmtId="14" fontId="52" fillId="0" borderId="23" xfId="0" applyNumberFormat="1" applyFont="1" applyBorder="1" applyAlignment="1" applyProtection="1">
      <alignment horizontal="left" vertical="top"/>
      <protection locked="0"/>
    </xf>
    <xf numFmtId="10" fontId="52" fillId="0" borderId="23" xfId="2" applyNumberFormat="1" applyFont="1" applyBorder="1" applyAlignment="1" applyProtection="1">
      <alignment horizontal="right" vertical="top" wrapText="1"/>
      <protection locked="0"/>
    </xf>
    <xf numFmtId="166" fontId="56" fillId="6" borderId="23" xfId="0" applyNumberFormat="1" applyFont="1" applyFill="1" applyBorder="1" applyAlignment="1" applyProtection="1">
      <alignment horizontal="center" vertical="top"/>
      <protection locked="0"/>
    </xf>
    <xf numFmtId="165" fontId="56" fillId="6" borderId="23" xfId="0" applyNumberFormat="1" applyFont="1" applyFill="1" applyBorder="1" applyAlignment="1" applyProtection="1">
      <alignment horizontal="center" vertical="top"/>
      <protection locked="0"/>
    </xf>
    <xf numFmtId="1" fontId="56" fillId="6" borderId="23" xfId="0" applyNumberFormat="1" applyFont="1" applyFill="1" applyBorder="1" applyAlignment="1" applyProtection="1">
      <alignment horizontal="center" vertical="top"/>
      <protection locked="0"/>
    </xf>
    <xf numFmtId="14" fontId="56" fillId="6" borderId="23" xfId="0" applyNumberFormat="1" applyFont="1" applyFill="1" applyBorder="1" applyAlignment="1" applyProtection="1">
      <alignment horizontal="left" vertical="top"/>
      <protection locked="0"/>
    </xf>
    <xf numFmtId="10" fontId="56" fillId="6" borderId="23" xfId="2" applyNumberFormat="1" applyFont="1" applyFill="1" applyBorder="1" applyAlignment="1" applyProtection="1">
      <alignment horizontal="right" vertical="top" wrapText="1"/>
      <protection locked="0"/>
    </xf>
    <xf numFmtId="0" fontId="55" fillId="18" borderId="27" xfId="0" applyFont="1" applyFill="1" applyBorder="1" applyAlignment="1">
      <alignment horizontal="left" vertical="center"/>
    </xf>
    <xf numFmtId="0" fontId="56" fillId="0" borderId="23" xfId="0" applyFont="1" applyBorder="1" applyAlignment="1" applyProtection="1">
      <alignment horizontal="left" vertical="top"/>
      <protection locked="0"/>
    </xf>
    <xf numFmtId="0" fontId="56" fillId="6" borderId="23" xfId="0" quotePrefix="1" applyFont="1" applyFill="1" applyBorder="1" applyAlignment="1" applyProtection="1">
      <alignment horizontal="left" vertical="top"/>
      <protection locked="0"/>
    </xf>
    <xf numFmtId="0" fontId="52" fillId="0" borderId="23" xfId="0" quotePrefix="1" applyFont="1" applyBorder="1" applyAlignment="1" applyProtection="1">
      <alignment horizontal="left" vertical="top"/>
      <protection locked="0"/>
    </xf>
    <xf numFmtId="0" fontId="52" fillId="0" borderId="23" xfId="0" applyFont="1" applyBorder="1" applyAlignment="1" applyProtection="1">
      <alignment vertical="top"/>
      <protection locked="0"/>
    </xf>
    <xf numFmtId="0" fontId="52" fillId="0" borderId="4" xfId="0" applyFont="1" applyBorder="1" applyAlignment="1" applyProtection="1">
      <alignment horizontal="left" vertical="center"/>
      <protection locked="0"/>
    </xf>
    <xf numFmtId="0" fontId="56" fillId="0" borderId="23" xfId="3" applyFont="1" applyBorder="1" applyAlignment="1" applyProtection="1">
      <alignment horizontal="left" vertical="top"/>
      <protection locked="0"/>
    </xf>
    <xf numFmtId="10" fontId="18" fillId="0" borderId="23" xfId="2" applyNumberFormat="1" applyFont="1" applyFill="1" applyBorder="1" applyAlignment="1" applyProtection="1">
      <alignment horizontal="right" vertical="top" wrapText="1"/>
      <protection locked="0"/>
    </xf>
    <xf numFmtId="0" fontId="52" fillId="0" borderId="23" xfId="3" quotePrefix="1" applyFont="1" applyBorder="1" applyAlignment="1" applyProtection="1">
      <alignment horizontal="left" vertical="top"/>
      <protection locked="0"/>
    </xf>
    <xf numFmtId="10" fontId="52" fillId="0" borderId="23" xfId="2" applyNumberFormat="1" applyFont="1" applyFill="1" applyBorder="1" applyAlignment="1" applyProtection="1">
      <alignment horizontal="right" vertical="top" wrapText="1"/>
      <protection locked="0"/>
    </xf>
    <xf numFmtId="0" fontId="52" fillId="0" borderId="23" xfId="0" applyFont="1" applyBorder="1" applyAlignment="1" applyProtection="1">
      <alignment horizontal="left" vertical="center"/>
      <protection locked="0"/>
    </xf>
    <xf numFmtId="0" fontId="52" fillId="6" borderId="23" xfId="3" quotePrefix="1" applyFont="1" applyFill="1" applyBorder="1" applyAlignment="1" applyProtection="1">
      <alignment horizontal="left" vertical="center"/>
      <protection locked="0"/>
    </xf>
    <xf numFmtId="0" fontId="52" fillId="6" borderId="23" xfId="3" applyFont="1" applyFill="1" applyBorder="1" applyAlignment="1" applyProtection="1">
      <alignment horizontal="left" vertical="center"/>
      <protection locked="0"/>
    </xf>
    <xf numFmtId="0" fontId="18" fillId="0" borderId="23" xfId="3" quotePrefix="1" applyFont="1" applyBorder="1" applyAlignment="1" applyProtection="1">
      <alignment horizontal="left" vertical="top"/>
      <protection locked="0"/>
    </xf>
    <xf numFmtId="0" fontId="56" fillId="0" borderId="23" xfId="3" quotePrefix="1" applyFont="1" applyBorder="1" applyAlignment="1" applyProtection="1">
      <alignment horizontal="left" vertical="top"/>
      <protection locked="0"/>
    </xf>
    <xf numFmtId="14" fontId="18" fillId="0" borderId="23" xfId="0" applyNumberFormat="1" applyFont="1" applyBorder="1" applyAlignment="1" applyProtection="1">
      <alignment horizontal="left" vertical="center"/>
      <protection locked="0"/>
    </xf>
    <xf numFmtId="0" fontId="2" fillId="0" borderId="23" xfId="1" applyFill="1" applyBorder="1" applyAlignment="1" applyProtection="1">
      <alignment horizontal="left" vertical="top"/>
      <protection locked="0"/>
    </xf>
    <xf numFmtId="0" fontId="18" fillId="0" borderId="23" xfId="3" applyFont="1" applyBorder="1" applyAlignment="1" applyProtection="1">
      <alignment horizontal="left" vertical="center"/>
      <protection locked="0"/>
    </xf>
    <xf numFmtId="0" fontId="56" fillId="0" borderId="23" xfId="3" applyFont="1" applyBorder="1" applyAlignment="1" applyProtection="1">
      <alignment horizontal="left" vertical="center"/>
      <protection locked="0"/>
    </xf>
    <xf numFmtId="14" fontId="56" fillId="0" borderId="23" xfId="0" applyNumberFormat="1" applyFont="1" applyBorder="1" applyAlignment="1" applyProtection="1">
      <alignment horizontal="center" vertical="top"/>
      <protection locked="0"/>
    </xf>
    <xf numFmtId="166" fontId="56" fillId="0" borderId="23" xfId="0" applyNumberFormat="1" applyFont="1" applyBorder="1" applyAlignment="1" applyProtection="1">
      <alignment horizontal="center" vertical="top"/>
      <protection locked="0"/>
    </xf>
    <xf numFmtId="165" fontId="56" fillId="0" borderId="23" xfId="0" applyNumberFormat="1" applyFont="1" applyBorder="1" applyAlignment="1" applyProtection="1">
      <alignment horizontal="center" vertical="top"/>
      <protection locked="0"/>
    </xf>
    <xf numFmtId="1" fontId="56" fillId="0" borderId="23" xfId="0" applyNumberFormat="1" applyFont="1" applyBorder="1" applyAlignment="1" applyProtection="1">
      <alignment horizontal="center" vertical="top"/>
      <protection locked="0"/>
    </xf>
    <xf numFmtId="14" fontId="56" fillId="0" borderId="23" xfId="0" applyNumberFormat="1" applyFont="1" applyBorder="1" applyAlignment="1" applyProtection="1">
      <alignment horizontal="left" vertical="top"/>
      <protection locked="0"/>
    </xf>
    <xf numFmtId="10" fontId="56" fillId="0" borderId="23" xfId="2" applyNumberFormat="1" applyFont="1" applyFill="1" applyBorder="1" applyAlignment="1" applyProtection="1">
      <alignment horizontal="right" vertical="top" wrapText="1"/>
      <protection locked="0"/>
    </xf>
    <xf numFmtId="0" fontId="58" fillId="0" borderId="23" xfId="3" applyFont="1" applyBorder="1" applyAlignment="1" applyProtection="1">
      <alignment horizontal="left" vertical="top"/>
      <protection locked="0"/>
    </xf>
    <xf numFmtId="0" fontId="59" fillId="0" borderId="23" xfId="3" applyFont="1" applyBorder="1" applyAlignment="1" applyProtection="1">
      <alignment horizontal="left" vertical="top"/>
      <protection locked="0"/>
    </xf>
    <xf numFmtId="0" fontId="59" fillId="0" borderId="23" xfId="0" applyFont="1" applyBorder="1" applyAlignment="1" applyProtection="1">
      <alignment horizontal="left" vertical="center"/>
      <protection locked="0"/>
    </xf>
    <xf numFmtId="0" fontId="53" fillId="16" borderId="0" xfId="0" applyFont="1" applyFill="1" applyAlignment="1">
      <alignment horizontal="left" vertical="center"/>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0" fillId="19" borderId="20" xfId="1" applyFont="1" applyFill="1" applyBorder="1" applyAlignment="1">
      <alignment horizontal="right"/>
    </xf>
    <xf numFmtId="0" fontId="0" fillId="19" borderId="20" xfId="0" applyFill="1" applyBorder="1" applyAlignment="1">
      <alignment horizontal="right"/>
    </xf>
    <xf numFmtId="0" fontId="47"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2" fillId="0" borderId="23" xfId="1" applyFill="1" applyBorder="1" applyAlignment="1" applyProtection="1">
      <alignment horizontal="center" vertical="top"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64" fontId="17" fillId="8" borderId="2" xfId="0" applyNumberFormat="1" applyFont="1" applyFill="1" applyBorder="1" applyAlignment="1">
      <alignment horizontal="center" vertical="center"/>
    </xf>
    <xf numFmtId="164"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66" fontId="17" fillId="18" borderId="2" xfId="0" applyNumberFormat="1" applyFont="1" applyFill="1" applyBorder="1" applyAlignment="1">
      <alignment horizontal="center" vertical="center" wrapText="1"/>
    </xf>
    <xf numFmtId="166" fontId="17" fillId="10" borderId="2" xfId="0" applyNumberFormat="1" applyFont="1" applyFill="1" applyBorder="1" applyAlignment="1">
      <alignment horizontal="center" vertical="center" wrapText="1"/>
    </xf>
    <xf numFmtId="165" fontId="17" fillId="18" borderId="2" xfId="0" applyNumberFormat="1" applyFont="1" applyFill="1" applyBorder="1" applyAlignment="1">
      <alignment horizontal="center" vertical="center" wrapText="1"/>
    </xf>
    <xf numFmtId="165"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66" fontId="17" fillId="18" borderId="2" xfId="0" applyNumberFormat="1" applyFont="1" applyFill="1" applyBorder="1" applyAlignment="1">
      <alignment horizontal="center" vertical="top" wrapText="1"/>
    </xf>
    <xf numFmtId="166"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54" fillId="18" borderId="27" xfId="0" applyFont="1" applyFill="1" applyBorder="1" applyAlignment="1">
      <alignment horizontal="left" vertical="center" wrapText="1"/>
    </xf>
    <xf numFmtId="0" fontId="54" fillId="18" borderId="27" xfId="0" applyFont="1" applyFill="1" applyBorder="1" applyAlignment="1">
      <alignment horizontal="left" vertical="center"/>
    </xf>
    <xf numFmtId="0" fontId="54" fillId="18" borderId="28" xfId="0" applyFont="1" applyFill="1" applyBorder="1" applyAlignment="1">
      <alignment horizontal="left" vertical="center"/>
    </xf>
    <xf numFmtId="0" fontId="53" fillId="16" borderId="0" xfId="0" applyFont="1" applyFill="1" applyAlignment="1">
      <alignment horizontal="left" vertical="center"/>
    </xf>
    <xf numFmtId="0" fontId="54" fillId="18" borderId="26" xfId="0" applyFont="1" applyFill="1" applyBorder="1" applyAlignment="1">
      <alignment horizontal="left"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10" fontId="52" fillId="0" borderId="23" xfId="2" applyNumberFormat="1" applyFont="1" applyFill="1" applyBorder="1" applyAlignment="1" applyProtection="1">
      <alignment horizontal="right" vertical="top"/>
      <protection locked="0"/>
    </xf>
  </cellXfs>
  <cellStyles count="4">
    <cellStyle name="Hyperlink" xfId="1" builtinId="8"/>
    <cellStyle name="Normal" xfId="0" builtinId="0"/>
    <cellStyle name="Percent" xfId="2" builtinId="5"/>
    <cellStyle name="표준 2" xfId="3"/>
  </cellStyles>
  <dxfs count="3">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Planned Workload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AnalysisReport!$F$7:$F$17</c:f>
              <c:numCache>
                <c:formatCode>0.00%</c:formatCode>
                <c:ptCount val="11"/>
                <c:pt idx="0">
                  <c:v>0</c:v>
                </c:pt>
                <c:pt idx="1">
                  <c:v>9.7674418604651161E-2</c:v>
                </c:pt>
                <c:pt idx="2">
                  <c:v>0.16744186046511628</c:v>
                </c:pt>
                <c:pt idx="3">
                  <c:v>0.21395348837209302</c:v>
                </c:pt>
                <c:pt idx="4">
                  <c:v>0.21395348837209302</c:v>
                </c:pt>
                <c:pt idx="5">
                  <c:v>0.33023255813953489</c:v>
                </c:pt>
                <c:pt idx="6">
                  <c:v>0.44651162790697674</c:v>
                </c:pt>
                <c:pt idx="7">
                  <c:v>0.56279069767441858</c:v>
                </c:pt>
                <c:pt idx="8">
                  <c:v>0.63255813953488371</c:v>
                </c:pt>
                <c:pt idx="9">
                  <c:v>0.8418604651162791</c:v>
                </c:pt>
                <c:pt idx="10">
                  <c:v>1</c:v>
                </c:pt>
              </c:numCache>
            </c:numRef>
          </c:val>
          <c:smooth val="0"/>
          <c:extLst xmlns:c16r2="http://schemas.microsoft.com/office/drawing/2015/06/chart">
            <c:ext xmlns:c16="http://schemas.microsoft.com/office/drawing/2014/chart" uri="{C3380CC4-5D6E-409C-BE32-E72D297353CC}">
              <c16:uniqueId val="{00000000-2368-42B3-B8B9-DC8AE946A043}"/>
            </c:ext>
          </c:extLst>
        </c:ser>
        <c:ser>
          <c:idx val="1"/>
          <c:order val="1"/>
          <c:tx>
            <c:strRef>
              <c:f>AnalysisReport!$I$6</c:f>
              <c:strCache>
                <c:ptCount val="1"/>
                <c:pt idx="0">
                  <c:v>Earned Value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AnalysisReport!$I$7:$I$17</c:f>
              <c:numCache>
                <c:formatCode>0.00%</c:formatCode>
                <c:ptCount val="11"/>
                <c:pt idx="0">
                  <c:v>0</c:v>
                </c:pt>
                <c:pt idx="1">
                  <c:v>0</c:v>
                </c:pt>
                <c:pt idx="2">
                  <c:v>0</c:v>
                </c:pt>
              </c:numCache>
            </c:numRef>
          </c:val>
          <c:smooth val="0"/>
          <c:extLst xmlns:c16r2="http://schemas.microsoft.com/office/drawing/2015/06/chart">
            <c:ext xmlns:c16="http://schemas.microsoft.com/office/drawing/2014/chart" uri="{C3380CC4-5D6E-409C-BE32-E72D297353CC}">
              <c16:uniqueId val="{00000001-2368-42B3-B8B9-DC8AE946A043}"/>
            </c:ext>
          </c:extLst>
        </c:ser>
        <c:ser>
          <c:idx val="2"/>
          <c:order val="2"/>
          <c:tx>
            <c:strRef>
              <c:f>AnalysisReport!$L$6</c:f>
              <c:strCache>
                <c:ptCount val="1"/>
                <c:pt idx="0">
                  <c:v>Actual Workload Progress</c:v>
                </c:pt>
              </c:strCache>
            </c:strRef>
          </c:tx>
          <c:cat>
            <c:numRef>
              <c:f>AnalysisReport!$C$7:$C$17</c:f>
              <c:numCache>
                <c:formatCode>m/d/yyyy</c:formatCode>
                <c:ptCount val="11"/>
                <c:pt idx="0">
                  <c:v>44709</c:v>
                </c:pt>
                <c:pt idx="1">
                  <c:v>44716</c:v>
                </c:pt>
                <c:pt idx="2">
                  <c:v>44723</c:v>
                </c:pt>
                <c:pt idx="3">
                  <c:v>44730</c:v>
                </c:pt>
                <c:pt idx="4">
                  <c:v>44737</c:v>
                </c:pt>
                <c:pt idx="5">
                  <c:v>44744</c:v>
                </c:pt>
                <c:pt idx="6">
                  <c:v>44751</c:v>
                </c:pt>
                <c:pt idx="7">
                  <c:v>44758</c:v>
                </c:pt>
                <c:pt idx="8">
                  <c:v>44765</c:v>
                </c:pt>
                <c:pt idx="9">
                  <c:v>44772</c:v>
                </c:pt>
                <c:pt idx="10">
                  <c:v>44779</c:v>
                </c:pt>
              </c:numCache>
            </c:numRef>
          </c:cat>
          <c:val>
            <c:numRef>
              <c:f>AnalysisReport!$L$7:$L$17</c:f>
              <c:numCache>
                <c:formatCode>0.00%</c:formatCode>
                <c:ptCount val="11"/>
                <c:pt idx="0">
                  <c:v>0</c:v>
                </c:pt>
                <c:pt idx="1">
                  <c:v>0</c:v>
                </c:pt>
                <c:pt idx="2">
                  <c:v>0</c:v>
                </c:pt>
              </c:numCache>
            </c:numRef>
          </c:val>
          <c:smooth val="0"/>
          <c:extLst xmlns:c16r2="http://schemas.microsoft.com/office/drawing/2015/06/chart">
            <c:ext xmlns:c16="http://schemas.microsoft.com/office/drawing/2014/chart" uri="{C3380CC4-5D6E-409C-BE32-E72D297353CC}">
              <c16:uniqueId val="{00000002-2368-42B3-B8B9-DC8AE946A043}"/>
            </c:ext>
          </c:extLst>
        </c:ser>
        <c:dLbls>
          <c:showLegendKey val="0"/>
          <c:showVal val="0"/>
          <c:showCatName val="0"/>
          <c:showSerName val="0"/>
          <c:showPercent val="0"/>
          <c:showBubbleSize val="0"/>
        </c:dLbls>
        <c:marker val="1"/>
        <c:smooth val="0"/>
        <c:axId val="251631104"/>
        <c:axId val="251632640"/>
      </c:lineChart>
      <c:dateAx>
        <c:axId val="251631104"/>
        <c:scaling>
          <c:orientation val="minMax"/>
        </c:scaling>
        <c:delete val="0"/>
        <c:axPos val="b"/>
        <c:numFmt formatCode="m/d/yyyy" sourceLinked="1"/>
        <c:majorTickMark val="out"/>
        <c:minorTickMark val="none"/>
        <c:tickLblPos val="nextTo"/>
        <c:txPr>
          <a:bodyPr rot="-2700000" vert="horz"/>
          <a:lstStyle/>
          <a:p>
            <a:pPr>
              <a:defRPr/>
            </a:pPr>
            <a:endParaRPr lang="en-US"/>
          </a:p>
        </c:txPr>
        <c:crossAx val="251632640"/>
        <c:crosses val="autoZero"/>
        <c:auto val="1"/>
        <c:lblOffset val="100"/>
        <c:baseTimeUnit val="days"/>
      </c:dateAx>
      <c:valAx>
        <c:axId val="251632640"/>
        <c:scaling>
          <c:orientation val="minMax"/>
        </c:scaling>
        <c:delete val="0"/>
        <c:axPos val="l"/>
        <c:majorGridlines/>
        <c:numFmt formatCode="0.00%" sourceLinked="1"/>
        <c:majorTickMark val="out"/>
        <c:minorTickMark val="none"/>
        <c:tickLblPos val="nextTo"/>
        <c:crossAx val="251631104"/>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685799</xdr:colOff>
      <xdr:row>1</xdr:row>
      <xdr:rowOff>7493</xdr:rowOff>
    </xdr:from>
    <xdr:to>
      <xdr:col>46</xdr:col>
      <xdr:colOff>685799</xdr:colOff>
      <xdr:row>130</xdr:row>
      <xdr:rowOff>152399</xdr:rowOff>
    </xdr:to>
    <xdr:cxnSp macro="">
      <xdr:nvCxnSpPr>
        <xdr:cNvPr id="64672" name="Straight Arrow Connector 64671"/>
        <xdr:cNvCxnSpPr/>
      </xdr:nvCxnSpPr>
      <xdr:spPr>
        <a:xfrm>
          <a:off x="28361639" y="319913"/>
          <a:ext cx="0" cy="19354926"/>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39189</xdr:colOff>
      <xdr:row>1</xdr:row>
      <xdr:rowOff>7493</xdr:rowOff>
    </xdr:from>
    <xdr:to>
      <xdr:col>43</xdr:col>
      <xdr:colOff>39189</xdr:colOff>
      <xdr:row>130</xdr:row>
      <xdr:rowOff>152399</xdr:rowOff>
    </xdr:to>
    <xdr:cxnSp macro="">
      <xdr:nvCxnSpPr>
        <xdr:cNvPr id="64673" name="Straight Arrow Connector 64672"/>
        <xdr:cNvCxnSpPr/>
      </xdr:nvCxnSpPr>
      <xdr:spPr>
        <a:xfrm>
          <a:off x="19073949" y="319913"/>
          <a:ext cx="0" cy="19354926"/>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19595</xdr:colOff>
      <xdr:row>130</xdr:row>
      <xdr:rowOff>19049</xdr:rowOff>
    </xdr:from>
    <xdr:to>
      <xdr:col>43</xdr:col>
      <xdr:colOff>118835</xdr:colOff>
      <xdr:row>130</xdr:row>
      <xdr:rowOff>133349</xdr:rowOff>
    </xdr:to>
    <xdr:sp macro="" textlink="">
      <xdr:nvSpPr>
        <xdr:cNvPr id="64674" name="127"/>
        <xdr:cNvSpPr/>
      </xdr:nvSpPr>
      <xdr:spPr>
        <a:xfrm>
          <a:off x="19054355" y="20036789"/>
          <a:ext cx="992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19595</xdr:colOff>
      <xdr:row>130</xdr:row>
      <xdr:rowOff>76199</xdr:rowOff>
    </xdr:from>
    <xdr:to>
      <xdr:col>43</xdr:col>
      <xdr:colOff>19595</xdr:colOff>
      <xdr:row>130</xdr:row>
      <xdr:rowOff>76199</xdr:rowOff>
    </xdr:to>
    <xdr:cxnSp macro="">
      <xdr:nvCxnSpPr>
        <xdr:cNvPr id="64675" name="Straight Arrow Connector 64674"/>
        <xdr:cNvCxnSpPr/>
      </xdr:nvCxnSpPr>
      <xdr:spPr>
        <a:xfrm>
          <a:off x="19054355" y="2009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19595</xdr:colOff>
      <xdr:row>129</xdr:row>
      <xdr:rowOff>19049</xdr:rowOff>
    </xdr:from>
    <xdr:to>
      <xdr:col>43</xdr:col>
      <xdr:colOff>118835</xdr:colOff>
      <xdr:row>129</xdr:row>
      <xdr:rowOff>133349</xdr:rowOff>
    </xdr:to>
    <xdr:sp macro="" textlink="">
      <xdr:nvSpPr>
        <xdr:cNvPr id="64676" name="126"/>
        <xdr:cNvSpPr/>
      </xdr:nvSpPr>
      <xdr:spPr>
        <a:xfrm>
          <a:off x="19054355" y="19884389"/>
          <a:ext cx="992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19595</xdr:colOff>
      <xdr:row>129</xdr:row>
      <xdr:rowOff>76199</xdr:rowOff>
    </xdr:from>
    <xdr:to>
      <xdr:col>43</xdr:col>
      <xdr:colOff>19595</xdr:colOff>
      <xdr:row>129</xdr:row>
      <xdr:rowOff>76199</xdr:rowOff>
    </xdr:to>
    <xdr:cxnSp macro="">
      <xdr:nvCxnSpPr>
        <xdr:cNvPr id="64677" name="Straight Arrow Connector 64676"/>
        <xdr:cNvCxnSpPr/>
      </xdr:nvCxnSpPr>
      <xdr:spPr>
        <a:xfrm>
          <a:off x="19054355" y="1994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19595</xdr:colOff>
      <xdr:row>128</xdr:row>
      <xdr:rowOff>19049</xdr:rowOff>
    </xdr:from>
    <xdr:to>
      <xdr:col>43</xdr:col>
      <xdr:colOff>118835</xdr:colOff>
      <xdr:row>128</xdr:row>
      <xdr:rowOff>133349</xdr:rowOff>
    </xdr:to>
    <xdr:sp macro="" textlink="">
      <xdr:nvSpPr>
        <xdr:cNvPr id="64678" name="125"/>
        <xdr:cNvSpPr/>
      </xdr:nvSpPr>
      <xdr:spPr>
        <a:xfrm>
          <a:off x="19054355" y="19731989"/>
          <a:ext cx="992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19595</xdr:colOff>
      <xdr:row>128</xdr:row>
      <xdr:rowOff>76199</xdr:rowOff>
    </xdr:from>
    <xdr:to>
      <xdr:col>43</xdr:col>
      <xdr:colOff>19595</xdr:colOff>
      <xdr:row>128</xdr:row>
      <xdr:rowOff>76199</xdr:rowOff>
    </xdr:to>
    <xdr:cxnSp macro="">
      <xdr:nvCxnSpPr>
        <xdr:cNvPr id="64679" name="Straight Arrow Connector 64678"/>
        <xdr:cNvCxnSpPr/>
      </xdr:nvCxnSpPr>
      <xdr:spPr>
        <a:xfrm>
          <a:off x="19054355" y="1978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19595</xdr:colOff>
      <xdr:row>127</xdr:row>
      <xdr:rowOff>19049</xdr:rowOff>
    </xdr:from>
    <xdr:to>
      <xdr:col>43</xdr:col>
      <xdr:colOff>40459</xdr:colOff>
      <xdr:row>127</xdr:row>
      <xdr:rowOff>133349</xdr:rowOff>
    </xdr:to>
    <xdr:sp macro="" textlink="">
      <xdr:nvSpPr>
        <xdr:cNvPr id="64680" name="124"/>
        <xdr:cNvSpPr/>
      </xdr:nvSpPr>
      <xdr:spPr>
        <a:xfrm>
          <a:off x="19054355" y="195795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19595</xdr:colOff>
      <xdr:row>127</xdr:row>
      <xdr:rowOff>76199</xdr:rowOff>
    </xdr:from>
    <xdr:to>
      <xdr:col>43</xdr:col>
      <xdr:colOff>19595</xdr:colOff>
      <xdr:row>127</xdr:row>
      <xdr:rowOff>76199</xdr:rowOff>
    </xdr:to>
    <xdr:cxnSp macro="">
      <xdr:nvCxnSpPr>
        <xdr:cNvPr id="64681" name="Straight Arrow Connector 64680"/>
        <xdr:cNvCxnSpPr/>
      </xdr:nvCxnSpPr>
      <xdr:spPr>
        <a:xfrm>
          <a:off x="19054355" y="1963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19595</xdr:colOff>
      <xdr:row>126</xdr:row>
      <xdr:rowOff>19049</xdr:rowOff>
    </xdr:from>
    <xdr:to>
      <xdr:col>43</xdr:col>
      <xdr:colOff>118835</xdr:colOff>
      <xdr:row>126</xdr:row>
      <xdr:rowOff>133349</xdr:rowOff>
    </xdr:to>
    <xdr:sp macro="" textlink="">
      <xdr:nvSpPr>
        <xdr:cNvPr id="64682" name="123"/>
        <xdr:cNvSpPr/>
      </xdr:nvSpPr>
      <xdr:spPr>
        <a:xfrm>
          <a:off x="19054355" y="19427189"/>
          <a:ext cx="992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19595</xdr:colOff>
      <xdr:row>126</xdr:row>
      <xdr:rowOff>76199</xdr:rowOff>
    </xdr:from>
    <xdr:to>
      <xdr:col>43</xdr:col>
      <xdr:colOff>19595</xdr:colOff>
      <xdr:row>126</xdr:row>
      <xdr:rowOff>76199</xdr:rowOff>
    </xdr:to>
    <xdr:cxnSp macro="">
      <xdr:nvCxnSpPr>
        <xdr:cNvPr id="64683" name="Straight Arrow Connector 64682"/>
        <xdr:cNvCxnSpPr/>
      </xdr:nvCxnSpPr>
      <xdr:spPr>
        <a:xfrm>
          <a:off x="19054355" y="1948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19595</xdr:colOff>
      <xdr:row>125</xdr:row>
      <xdr:rowOff>19049</xdr:rowOff>
    </xdr:from>
    <xdr:to>
      <xdr:col>43</xdr:col>
      <xdr:colOff>118835</xdr:colOff>
      <xdr:row>125</xdr:row>
      <xdr:rowOff>133349</xdr:rowOff>
    </xdr:to>
    <xdr:sp macro="" textlink="">
      <xdr:nvSpPr>
        <xdr:cNvPr id="64684" name="122"/>
        <xdr:cNvSpPr/>
      </xdr:nvSpPr>
      <xdr:spPr>
        <a:xfrm>
          <a:off x="19054355" y="19274789"/>
          <a:ext cx="992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43</xdr:col>
      <xdr:colOff>19595</xdr:colOff>
      <xdr:row>125</xdr:row>
      <xdr:rowOff>76199</xdr:rowOff>
    </xdr:from>
    <xdr:to>
      <xdr:col>43</xdr:col>
      <xdr:colOff>19595</xdr:colOff>
      <xdr:row>125</xdr:row>
      <xdr:rowOff>76199</xdr:rowOff>
    </xdr:to>
    <xdr:cxnSp macro="">
      <xdr:nvCxnSpPr>
        <xdr:cNvPr id="64685" name="Straight Arrow Connector 64684"/>
        <xdr:cNvCxnSpPr/>
      </xdr:nvCxnSpPr>
      <xdr:spPr>
        <a:xfrm>
          <a:off x="19054355" y="1933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39188</xdr:colOff>
      <xdr:row>124</xdr:row>
      <xdr:rowOff>19049</xdr:rowOff>
    </xdr:from>
    <xdr:to>
      <xdr:col>42</xdr:col>
      <xdr:colOff>118836</xdr:colOff>
      <xdr:row>124</xdr:row>
      <xdr:rowOff>133349</xdr:rowOff>
    </xdr:to>
    <xdr:sp macro="" textlink="">
      <xdr:nvSpPr>
        <xdr:cNvPr id="64686" name="121"/>
        <xdr:cNvSpPr/>
      </xdr:nvSpPr>
      <xdr:spPr>
        <a:xfrm>
          <a:off x="18936788" y="19122389"/>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39188</xdr:colOff>
      <xdr:row>124</xdr:row>
      <xdr:rowOff>76199</xdr:rowOff>
    </xdr:from>
    <xdr:to>
      <xdr:col>42</xdr:col>
      <xdr:colOff>39188</xdr:colOff>
      <xdr:row>124</xdr:row>
      <xdr:rowOff>76199</xdr:rowOff>
    </xdr:to>
    <xdr:cxnSp macro="">
      <xdr:nvCxnSpPr>
        <xdr:cNvPr id="64687" name="Straight Arrow Connector 64686"/>
        <xdr:cNvCxnSpPr/>
      </xdr:nvCxnSpPr>
      <xdr:spPr>
        <a:xfrm>
          <a:off x="18936788" y="1917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39188</xdr:colOff>
      <xdr:row>123</xdr:row>
      <xdr:rowOff>19049</xdr:rowOff>
    </xdr:from>
    <xdr:to>
      <xdr:col>42</xdr:col>
      <xdr:colOff>118836</xdr:colOff>
      <xdr:row>123</xdr:row>
      <xdr:rowOff>133349</xdr:rowOff>
    </xdr:to>
    <xdr:sp macro="" textlink="">
      <xdr:nvSpPr>
        <xdr:cNvPr id="64688" name="120"/>
        <xdr:cNvSpPr/>
      </xdr:nvSpPr>
      <xdr:spPr>
        <a:xfrm>
          <a:off x="18936788" y="18969989"/>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39188</xdr:colOff>
      <xdr:row>123</xdr:row>
      <xdr:rowOff>76199</xdr:rowOff>
    </xdr:from>
    <xdr:to>
      <xdr:col>42</xdr:col>
      <xdr:colOff>39188</xdr:colOff>
      <xdr:row>123</xdr:row>
      <xdr:rowOff>76199</xdr:rowOff>
    </xdr:to>
    <xdr:cxnSp macro="">
      <xdr:nvCxnSpPr>
        <xdr:cNvPr id="64689" name="Straight Arrow Connector 64688"/>
        <xdr:cNvCxnSpPr/>
      </xdr:nvCxnSpPr>
      <xdr:spPr>
        <a:xfrm>
          <a:off x="18936788" y="1902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39188</xdr:colOff>
      <xdr:row>122</xdr:row>
      <xdr:rowOff>19049</xdr:rowOff>
    </xdr:from>
    <xdr:to>
      <xdr:col>42</xdr:col>
      <xdr:colOff>118836</xdr:colOff>
      <xdr:row>122</xdr:row>
      <xdr:rowOff>133349</xdr:rowOff>
    </xdr:to>
    <xdr:sp macro="" textlink="">
      <xdr:nvSpPr>
        <xdr:cNvPr id="64690" name="119"/>
        <xdr:cNvSpPr/>
      </xdr:nvSpPr>
      <xdr:spPr>
        <a:xfrm>
          <a:off x="18936788" y="18817589"/>
          <a:ext cx="796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39188</xdr:colOff>
      <xdr:row>122</xdr:row>
      <xdr:rowOff>76199</xdr:rowOff>
    </xdr:from>
    <xdr:to>
      <xdr:col>42</xdr:col>
      <xdr:colOff>39188</xdr:colOff>
      <xdr:row>122</xdr:row>
      <xdr:rowOff>76199</xdr:rowOff>
    </xdr:to>
    <xdr:cxnSp macro="">
      <xdr:nvCxnSpPr>
        <xdr:cNvPr id="64691" name="Straight Arrow Connector 64690"/>
        <xdr:cNvCxnSpPr/>
      </xdr:nvCxnSpPr>
      <xdr:spPr>
        <a:xfrm>
          <a:off x="18936788" y="1887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39188</xdr:colOff>
      <xdr:row>121</xdr:row>
      <xdr:rowOff>19049</xdr:rowOff>
    </xdr:from>
    <xdr:to>
      <xdr:col>42</xdr:col>
      <xdr:colOff>118836</xdr:colOff>
      <xdr:row>121</xdr:row>
      <xdr:rowOff>133349</xdr:rowOff>
    </xdr:to>
    <xdr:sp macro="" textlink="">
      <xdr:nvSpPr>
        <xdr:cNvPr id="64692" name="118"/>
        <xdr:cNvSpPr/>
      </xdr:nvSpPr>
      <xdr:spPr>
        <a:xfrm>
          <a:off x="18936788" y="18665189"/>
          <a:ext cx="796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39188</xdr:colOff>
      <xdr:row>121</xdr:row>
      <xdr:rowOff>76199</xdr:rowOff>
    </xdr:from>
    <xdr:to>
      <xdr:col>42</xdr:col>
      <xdr:colOff>39188</xdr:colOff>
      <xdr:row>121</xdr:row>
      <xdr:rowOff>76199</xdr:rowOff>
    </xdr:to>
    <xdr:cxnSp macro="">
      <xdr:nvCxnSpPr>
        <xdr:cNvPr id="64693" name="Straight Arrow Connector 64692"/>
        <xdr:cNvCxnSpPr/>
      </xdr:nvCxnSpPr>
      <xdr:spPr>
        <a:xfrm>
          <a:off x="18936788" y="1872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120</xdr:row>
      <xdr:rowOff>19049</xdr:rowOff>
    </xdr:from>
    <xdr:to>
      <xdr:col>41</xdr:col>
      <xdr:colOff>118836</xdr:colOff>
      <xdr:row>120</xdr:row>
      <xdr:rowOff>133349</xdr:rowOff>
    </xdr:to>
    <xdr:sp macro="" textlink="">
      <xdr:nvSpPr>
        <xdr:cNvPr id="64694" name="117"/>
        <xdr:cNvSpPr/>
      </xdr:nvSpPr>
      <xdr:spPr>
        <a:xfrm>
          <a:off x="18642874" y="18512789"/>
          <a:ext cx="2364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120</xdr:row>
      <xdr:rowOff>76199</xdr:rowOff>
    </xdr:from>
    <xdr:to>
      <xdr:col>40</xdr:col>
      <xdr:colOff>19594</xdr:colOff>
      <xdr:row>120</xdr:row>
      <xdr:rowOff>76199</xdr:rowOff>
    </xdr:to>
    <xdr:cxnSp macro="">
      <xdr:nvCxnSpPr>
        <xdr:cNvPr id="64696" name="Straight Arrow Connector 64695"/>
        <xdr:cNvCxnSpPr/>
      </xdr:nvCxnSpPr>
      <xdr:spPr>
        <a:xfrm>
          <a:off x="18642874" y="1856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97971</xdr:colOff>
      <xdr:row>119</xdr:row>
      <xdr:rowOff>19049</xdr:rowOff>
    </xdr:from>
    <xdr:to>
      <xdr:col>41</xdr:col>
      <xdr:colOff>118836</xdr:colOff>
      <xdr:row>119</xdr:row>
      <xdr:rowOff>133349</xdr:rowOff>
    </xdr:to>
    <xdr:sp macro="" textlink="">
      <xdr:nvSpPr>
        <xdr:cNvPr id="64697" name="116"/>
        <xdr:cNvSpPr/>
      </xdr:nvSpPr>
      <xdr:spPr>
        <a:xfrm>
          <a:off x="18035451" y="18360389"/>
          <a:ext cx="8438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97971</xdr:colOff>
      <xdr:row>119</xdr:row>
      <xdr:rowOff>76199</xdr:rowOff>
    </xdr:from>
    <xdr:to>
      <xdr:col>35</xdr:col>
      <xdr:colOff>97971</xdr:colOff>
      <xdr:row>119</xdr:row>
      <xdr:rowOff>76199</xdr:rowOff>
    </xdr:to>
    <xdr:cxnSp macro="">
      <xdr:nvCxnSpPr>
        <xdr:cNvPr id="64698" name="Straight Arrow Connector 64697"/>
        <xdr:cNvCxnSpPr/>
      </xdr:nvCxnSpPr>
      <xdr:spPr>
        <a:xfrm>
          <a:off x="18035451" y="1841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97971</xdr:colOff>
      <xdr:row>118</xdr:row>
      <xdr:rowOff>19049</xdr:rowOff>
    </xdr:from>
    <xdr:to>
      <xdr:col>41</xdr:col>
      <xdr:colOff>118836</xdr:colOff>
      <xdr:row>118</xdr:row>
      <xdr:rowOff>133349</xdr:rowOff>
    </xdr:to>
    <xdr:sp macro="" textlink="">
      <xdr:nvSpPr>
        <xdr:cNvPr id="64699" name="115"/>
        <xdr:cNvSpPr/>
      </xdr:nvSpPr>
      <xdr:spPr>
        <a:xfrm>
          <a:off x="18035451" y="18207989"/>
          <a:ext cx="8438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97971</xdr:colOff>
      <xdr:row>118</xdr:row>
      <xdr:rowOff>76199</xdr:rowOff>
    </xdr:from>
    <xdr:to>
      <xdr:col>35</xdr:col>
      <xdr:colOff>97971</xdr:colOff>
      <xdr:row>118</xdr:row>
      <xdr:rowOff>76199</xdr:rowOff>
    </xdr:to>
    <xdr:cxnSp macro="">
      <xdr:nvCxnSpPr>
        <xdr:cNvPr id="64700" name="Straight Arrow Connector 64699"/>
        <xdr:cNvCxnSpPr/>
      </xdr:nvCxnSpPr>
      <xdr:spPr>
        <a:xfrm>
          <a:off x="18035451" y="1826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97972</xdr:colOff>
      <xdr:row>117</xdr:row>
      <xdr:rowOff>19049</xdr:rowOff>
    </xdr:from>
    <xdr:to>
      <xdr:col>41</xdr:col>
      <xdr:colOff>118836</xdr:colOff>
      <xdr:row>117</xdr:row>
      <xdr:rowOff>133349</xdr:rowOff>
    </xdr:to>
    <xdr:sp macro="" textlink="">
      <xdr:nvSpPr>
        <xdr:cNvPr id="64701" name="114"/>
        <xdr:cNvSpPr/>
      </xdr:nvSpPr>
      <xdr:spPr>
        <a:xfrm>
          <a:off x="18858412" y="180555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97972</xdr:colOff>
      <xdr:row>117</xdr:row>
      <xdr:rowOff>76199</xdr:rowOff>
    </xdr:from>
    <xdr:to>
      <xdr:col>41</xdr:col>
      <xdr:colOff>97972</xdr:colOff>
      <xdr:row>117</xdr:row>
      <xdr:rowOff>76199</xdr:rowOff>
    </xdr:to>
    <xdr:cxnSp macro="">
      <xdr:nvCxnSpPr>
        <xdr:cNvPr id="64702" name="Straight Arrow Connector 64701"/>
        <xdr:cNvCxnSpPr/>
      </xdr:nvCxnSpPr>
      <xdr:spPr>
        <a:xfrm>
          <a:off x="18858412" y="1811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97972</xdr:colOff>
      <xdr:row>116</xdr:row>
      <xdr:rowOff>19049</xdr:rowOff>
    </xdr:from>
    <xdr:to>
      <xdr:col>41</xdr:col>
      <xdr:colOff>118836</xdr:colOff>
      <xdr:row>116</xdr:row>
      <xdr:rowOff>133349</xdr:rowOff>
    </xdr:to>
    <xdr:sp macro="" textlink="">
      <xdr:nvSpPr>
        <xdr:cNvPr id="64703" name="113"/>
        <xdr:cNvSpPr/>
      </xdr:nvSpPr>
      <xdr:spPr>
        <a:xfrm>
          <a:off x="18858412" y="179031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97972</xdr:colOff>
      <xdr:row>116</xdr:row>
      <xdr:rowOff>76199</xdr:rowOff>
    </xdr:from>
    <xdr:to>
      <xdr:col>41</xdr:col>
      <xdr:colOff>97972</xdr:colOff>
      <xdr:row>116</xdr:row>
      <xdr:rowOff>76199</xdr:rowOff>
    </xdr:to>
    <xdr:cxnSp macro="">
      <xdr:nvCxnSpPr>
        <xdr:cNvPr id="39" name="Straight Arrow Connector 38"/>
        <xdr:cNvCxnSpPr/>
      </xdr:nvCxnSpPr>
      <xdr:spPr>
        <a:xfrm>
          <a:off x="18858412" y="1796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19594</xdr:colOff>
      <xdr:row>115</xdr:row>
      <xdr:rowOff>19049</xdr:rowOff>
    </xdr:from>
    <xdr:to>
      <xdr:col>41</xdr:col>
      <xdr:colOff>118836</xdr:colOff>
      <xdr:row>115</xdr:row>
      <xdr:rowOff>133349</xdr:rowOff>
    </xdr:to>
    <xdr:sp macro="" textlink="">
      <xdr:nvSpPr>
        <xdr:cNvPr id="40" name="112"/>
        <xdr:cNvSpPr/>
      </xdr:nvSpPr>
      <xdr:spPr>
        <a:xfrm>
          <a:off x="18780034" y="17750789"/>
          <a:ext cx="99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19594</xdr:colOff>
      <xdr:row>115</xdr:row>
      <xdr:rowOff>76199</xdr:rowOff>
    </xdr:from>
    <xdr:to>
      <xdr:col>41</xdr:col>
      <xdr:colOff>19594</xdr:colOff>
      <xdr:row>115</xdr:row>
      <xdr:rowOff>76199</xdr:rowOff>
    </xdr:to>
    <xdr:cxnSp macro="">
      <xdr:nvCxnSpPr>
        <xdr:cNvPr id="47" name="Straight Arrow Connector 46"/>
        <xdr:cNvCxnSpPr/>
      </xdr:nvCxnSpPr>
      <xdr:spPr>
        <a:xfrm>
          <a:off x="18780034" y="1780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19594</xdr:colOff>
      <xdr:row>114</xdr:row>
      <xdr:rowOff>19049</xdr:rowOff>
    </xdr:from>
    <xdr:to>
      <xdr:col>41</xdr:col>
      <xdr:colOff>60053</xdr:colOff>
      <xdr:row>114</xdr:row>
      <xdr:rowOff>133349</xdr:rowOff>
    </xdr:to>
    <xdr:sp macro="" textlink="">
      <xdr:nvSpPr>
        <xdr:cNvPr id="51" name="111"/>
        <xdr:cNvSpPr/>
      </xdr:nvSpPr>
      <xdr:spPr>
        <a:xfrm>
          <a:off x="18780034" y="17598389"/>
          <a:ext cx="404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19594</xdr:colOff>
      <xdr:row>114</xdr:row>
      <xdr:rowOff>76199</xdr:rowOff>
    </xdr:from>
    <xdr:to>
      <xdr:col>41</xdr:col>
      <xdr:colOff>19594</xdr:colOff>
      <xdr:row>114</xdr:row>
      <xdr:rowOff>76199</xdr:rowOff>
    </xdr:to>
    <xdr:cxnSp macro="">
      <xdr:nvCxnSpPr>
        <xdr:cNvPr id="52" name="Straight Arrow Connector 51"/>
        <xdr:cNvCxnSpPr/>
      </xdr:nvCxnSpPr>
      <xdr:spPr>
        <a:xfrm>
          <a:off x="18780034" y="1765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78377</xdr:colOff>
      <xdr:row>113</xdr:row>
      <xdr:rowOff>19049</xdr:rowOff>
    </xdr:from>
    <xdr:to>
      <xdr:col>40</xdr:col>
      <xdr:colOff>118835</xdr:colOff>
      <xdr:row>113</xdr:row>
      <xdr:rowOff>133349</xdr:rowOff>
    </xdr:to>
    <xdr:sp macro="" textlink="">
      <xdr:nvSpPr>
        <xdr:cNvPr id="53" name="110"/>
        <xdr:cNvSpPr/>
      </xdr:nvSpPr>
      <xdr:spPr>
        <a:xfrm>
          <a:off x="18701657" y="174459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78377</xdr:colOff>
      <xdr:row>113</xdr:row>
      <xdr:rowOff>76199</xdr:rowOff>
    </xdr:from>
    <xdr:to>
      <xdr:col>40</xdr:col>
      <xdr:colOff>78377</xdr:colOff>
      <xdr:row>113</xdr:row>
      <xdr:rowOff>76199</xdr:rowOff>
    </xdr:to>
    <xdr:cxnSp macro="">
      <xdr:nvCxnSpPr>
        <xdr:cNvPr id="55" name="Straight Arrow Connector 54"/>
        <xdr:cNvCxnSpPr/>
      </xdr:nvCxnSpPr>
      <xdr:spPr>
        <a:xfrm>
          <a:off x="18701657" y="1750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78377</xdr:colOff>
      <xdr:row>112</xdr:row>
      <xdr:rowOff>19049</xdr:rowOff>
    </xdr:from>
    <xdr:to>
      <xdr:col>40</xdr:col>
      <xdr:colOff>118835</xdr:colOff>
      <xdr:row>112</xdr:row>
      <xdr:rowOff>133349</xdr:rowOff>
    </xdr:to>
    <xdr:sp macro="" textlink="">
      <xdr:nvSpPr>
        <xdr:cNvPr id="60" name="109"/>
        <xdr:cNvSpPr/>
      </xdr:nvSpPr>
      <xdr:spPr>
        <a:xfrm>
          <a:off x="18701657" y="172935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78377</xdr:colOff>
      <xdr:row>112</xdr:row>
      <xdr:rowOff>76199</xdr:rowOff>
    </xdr:from>
    <xdr:to>
      <xdr:col>40</xdr:col>
      <xdr:colOff>78377</xdr:colOff>
      <xdr:row>112</xdr:row>
      <xdr:rowOff>76199</xdr:rowOff>
    </xdr:to>
    <xdr:cxnSp macro="">
      <xdr:nvCxnSpPr>
        <xdr:cNvPr id="61" name="Straight Arrow Connector 60"/>
        <xdr:cNvCxnSpPr/>
      </xdr:nvCxnSpPr>
      <xdr:spPr>
        <a:xfrm>
          <a:off x="18701657" y="1735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111</xdr:row>
      <xdr:rowOff>19049</xdr:rowOff>
    </xdr:from>
    <xdr:to>
      <xdr:col>40</xdr:col>
      <xdr:colOff>118835</xdr:colOff>
      <xdr:row>111</xdr:row>
      <xdr:rowOff>133349</xdr:rowOff>
    </xdr:to>
    <xdr:sp macro="" textlink="">
      <xdr:nvSpPr>
        <xdr:cNvPr id="62" name="108"/>
        <xdr:cNvSpPr/>
      </xdr:nvSpPr>
      <xdr:spPr>
        <a:xfrm>
          <a:off x="18642874" y="17141189"/>
          <a:ext cx="992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111</xdr:row>
      <xdr:rowOff>76199</xdr:rowOff>
    </xdr:from>
    <xdr:to>
      <xdr:col>40</xdr:col>
      <xdr:colOff>19594</xdr:colOff>
      <xdr:row>111</xdr:row>
      <xdr:rowOff>76199</xdr:rowOff>
    </xdr:to>
    <xdr:cxnSp macro="">
      <xdr:nvCxnSpPr>
        <xdr:cNvPr id="128" name="Straight Arrow Connector 127"/>
        <xdr:cNvCxnSpPr/>
      </xdr:nvCxnSpPr>
      <xdr:spPr>
        <a:xfrm>
          <a:off x="18642874" y="1719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110</xdr:row>
      <xdr:rowOff>19049</xdr:rowOff>
    </xdr:from>
    <xdr:to>
      <xdr:col>40</xdr:col>
      <xdr:colOff>60052</xdr:colOff>
      <xdr:row>110</xdr:row>
      <xdr:rowOff>133349</xdr:rowOff>
    </xdr:to>
    <xdr:sp macro="" textlink="">
      <xdr:nvSpPr>
        <xdr:cNvPr id="133" name="107"/>
        <xdr:cNvSpPr/>
      </xdr:nvSpPr>
      <xdr:spPr>
        <a:xfrm>
          <a:off x="18642874" y="169887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110</xdr:row>
      <xdr:rowOff>76199</xdr:rowOff>
    </xdr:from>
    <xdr:to>
      <xdr:col>40</xdr:col>
      <xdr:colOff>19594</xdr:colOff>
      <xdr:row>110</xdr:row>
      <xdr:rowOff>76199</xdr:rowOff>
    </xdr:to>
    <xdr:cxnSp macro="">
      <xdr:nvCxnSpPr>
        <xdr:cNvPr id="134" name="Straight Arrow Connector 133"/>
        <xdr:cNvCxnSpPr/>
      </xdr:nvCxnSpPr>
      <xdr:spPr>
        <a:xfrm>
          <a:off x="18642874" y="1704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109</xdr:row>
      <xdr:rowOff>19049</xdr:rowOff>
    </xdr:from>
    <xdr:to>
      <xdr:col>40</xdr:col>
      <xdr:colOff>60052</xdr:colOff>
      <xdr:row>109</xdr:row>
      <xdr:rowOff>133349</xdr:rowOff>
    </xdr:to>
    <xdr:sp macro="" textlink="">
      <xdr:nvSpPr>
        <xdr:cNvPr id="135" name="106"/>
        <xdr:cNvSpPr/>
      </xdr:nvSpPr>
      <xdr:spPr>
        <a:xfrm>
          <a:off x="18642874" y="168363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109</xdr:row>
      <xdr:rowOff>76199</xdr:rowOff>
    </xdr:from>
    <xdr:to>
      <xdr:col>40</xdr:col>
      <xdr:colOff>19594</xdr:colOff>
      <xdr:row>109</xdr:row>
      <xdr:rowOff>76199</xdr:rowOff>
    </xdr:to>
    <xdr:cxnSp macro="">
      <xdr:nvCxnSpPr>
        <xdr:cNvPr id="136" name="Straight Arrow Connector 135"/>
        <xdr:cNvCxnSpPr/>
      </xdr:nvCxnSpPr>
      <xdr:spPr>
        <a:xfrm>
          <a:off x="18642874" y="1689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108</xdr:row>
      <xdr:rowOff>19049</xdr:rowOff>
    </xdr:from>
    <xdr:to>
      <xdr:col>41</xdr:col>
      <xdr:colOff>118836</xdr:colOff>
      <xdr:row>108</xdr:row>
      <xdr:rowOff>133349</xdr:rowOff>
    </xdr:to>
    <xdr:sp macro="" textlink="">
      <xdr:nvSpPr>
        <xdr:cNvPr id="137" name="105"/>
        <xdr:cNvSpPr/>
      </xdr:nvSpPr>
      <xdr:spPr>
        <a:xfrm>
          <a:off x="18642874" y="16683989"/>
          <a:ext cx="2364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108</xdr:row>
      <xdr:rowOff>76199</xdr:rowOff>
    </xdr:from>
    <xdr:to>
      <xdr:col>40</xdr:col>
      <xdr:colOff>19594</xdr:colOff>
      <xdr:row>108</xdr:row>
      <xdr:rowOff>76199</xdr:rowOff>
    </xdr:to>
    <xdr:cxnSp macro="">
      <xdr:nvCxnSpPr>
        <xdr:cNvPr id="138" name="Straight Arrow Connector 137"/>
        <xdr:cNvCxnSpPr/>
      </xdr:nvCxnSpPr>
      <xdr:spPr>
        <a:xfrm>
          <a:off x="18642874" y="16741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107</xdr:row>
      <xdr:rowOff>19049</xdr:rowOff>
    </xdr:from>
    <xdr:to>
      <xdr:col>40</xdr:col>
      <xdr:colOff>118835</xdr:colOff>
      <xdr:row>107</xdr:row>
      <xdr:rowOff>133349</xdr:rowOff>
    </xdr:to>
    <xdr:sp macro="" textlink="">
      <xdr:nvSpPr>
        <xdr:cNvPr id="139" name="104"/>
        <xdr:cNvSpPr/>
      </xdr:nvSpPr>
      <xdr:spPr>
        <a:xfrm>
          <a:off x="18642874" y="16531589"/>
          <a:ext cx="992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107</xdr:row>
      <xdr:rowOff>76199</xdr:rowOff>
    </xdr:from>
    <xdr:to>
      <xdr:col>40</xdr:col>
      <xdr:colOff>19594</xdr:colOff>
      <xdr:row>107</xdr:row>
      <xdr:rowOff>76199</xdr:rowOff>
    </xdr:to>
    <xdr:cxnSp macro="">
      <xdr:nvCxnSpPr>
        <xdr:cNvPr id="140" name="Straight Arrow Connector 139"/>
        <xdr:cNvCxnSpPr/>
      </xdr:nvCxnSpPr>
      <xdr:spPr>
        <a:xfrm>
          <a:off x="18642874" y="16588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106</xdr:row>
      <xdr:rowOff>19049</xdr:rowOff>
    </xdr:from>
    <xdr:to>
      <xdr:col>40</xdr:col>
      <xdr:colOff>118835</xdr:colOff>
      <xdr:row>106</xdr:row>
      <xdr:rowOff>133349</xdr:rowOff>
    </xdr:to>
    <xdr:sp macro="" textlink="">
      <xdr:nvSpPr>
        <xdr:cNvPr id="18020" name="103"/>
        <xdr:cNvSpPr/>
      </xdr:nvSpPr>
      <xdr:spPr>
        <a:xfrm>
          <a:off x="18642874" y="16379189"/>
          <a:ext cx="992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106</xdr:row>
      <xdr:rowOff>76199</xdr:rowOff>
    </xdr:from>
    <xdr:to>
      <xdr:col>40</xdr:col>
      <xdr:colOff>19594</xdr:colOff>
      <xdr:row>106</xdr:row>
      <xdr:rowOff>76199</xdr:rowOff>
    </xdr:to>
    <xdr:cxnSp macro="">
      <xdr:nvCxnSpPr>
        <xdr:cNvPr id="18021" name="Straight Arrow Connector 18020"/>
        <xdr:cNvCxnSpPr/>
      </xdr:nvCxnSpPr>
      <xdr:spPr>
        <a:xfrm>
          <a:off x="18642874" y="16436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105</xdr:row>
      <xdr:rowOff>19049</xdr:rowOff>
    </xdr:from>
    <xdr:to>
      <xdr:col>40</xdr:col>
      <xdr:colOff>40458</xdr:colOff>
      <xdr:row>105</xdr:row>
      <xdr:rowOff>133349</xdr:rowOff>
    </xdr:to>
    <xdr:sp macro="" textlink="">
      <xdr:nvSpPr>
        <xdr:cNvPr id="18022" name="102"/>
        <xdr:cNvSpPr/>
      </xdr:nvSpPr>
      <xdr:spPr>
        <a:xfrm>
          <a:off x="18642874" y="162267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105</xdr:row>
      <xdr:rowOff>76199</xdr:rowOff>
    </xdr:from>
    <xdr:to>
      <xdr:col>40</xdr:col>
      <xdr:colOff>19594</xdr:colOff>
      <xdr:row>105</xdr:row>
      <xdr:rowOff>76199</xdr:rowOff>
    </xdr:to>
    <xdr:cxnSp macro="">
      <xdr:nvCxnSpPr>
        <xdr:cNvPr id="18023" name="Straight Arrow Connector 18022"/>
        <xdr:cNvCxnSpPr/>
      </xdr:nvCxnSpPr>
      <xdr:spPr>
        <a:xfrm>
          <a:off x="18642874" y="16283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104</xdr:row>
      <xdr:rowOff>19049</xdr:rowOff>
    </xdr:from>
    <xdr:to>
      <xdr:col>40</xdr:col>
      <xdr:colOff>40458</xdr:colOff>
      <xdr:row>104</xdr:row>
      <xdr:rowOff>133349</xdr:rowOff>
    </xdr:to>
    <xdr:sp macro="" textlink="">
      <xdr:nvSpPr>
        <xdr:cNvPr id="18024" name="101"/>
        <xdr:cNvSpPr/>
      </xdr:nvSpPr>
      <xdr:spPr>
        <a:xfrm>
          <a:off x="18642874" y="160743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104</xdr:row>
      <xdr:rowOff>76199</xdr:rowOff>
    </xdr:from>
    <xdr:to>
      <xdr:col>40</xdr:col>
      <xdr:colOff>19594</xdr:colOff>
      <xdr:row>104</xdr:row>
      <xdr:rowOff>76199</xdr:rowOff>
    </xdr:to>
    <xdr:cxnSp macro="">
      <xdr:nvCxnSpPr>
        <xdr:cNvPr id="18029" name="Straight Arrow Connector 18028"/>
        <xdr:cNvCxnSpPr/>
      </xdr:nvCxnSpPr>
      <xdr:spPr>
        <a:xfrm>
          <a:off x="18642874" y="16131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19594</xdr:colOff>
      <xdr:row>103</xdr:row>
      <xdr:rowOff>19049</xdr:rowOff>
    </xdr:from>
    <xdr:to>
      <xdr:col>41</xdr:col>
      <xdr:colOff>118836</xdr:colOff>
      <xdr:row>103</xdr:row>
      <xdr:rowOff>133349</xdr:rowOff>
    </xdr:to>
    <xdr:sp macro="" textlink="">
      <xdr:nvSpPr>
        <xdr:cNvPr id="18030" name="100"/>
        <xdr:cNvSpPr/>
      </xdr:nvSpPr>
      <xdr:spPr>
        <a:xfrm>
          <a:off x="18642874" y="15921989"/>
          <a:ext cx="2364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40</xdr:col>
      <xdr:colOff>19594</xdr:colOff>
      <xdr:row>103</xdr:row>
      <xdr:rowOff>76199</xdr:rowOff>
    </xdr:from>
    <xdr:to>
      <xdr:col>40</xdr:col>
      <xdr:colOff>19594</xdr:colOff>
      <xdr:row>103</xdr:row>
      <xdr:rowOff>76199</xdr:rowOff>
    </xdr:to>
    <xdr:cxnSp macro="">
      <xdr:nvCxnSpPr>
        <xdr:cNvPr id="18031" name="Straight Arrow Connector 18030"/>
        <xdr:cNvCxnSpPr/>
      </xdr:nvCxnSpPr>
      <xdr:spPr>
        <a:xfrm>
          <a:off x="18642874" y="15979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97972</xdr:colOff>
      <xdr:row>102</xdr:row>
      <xdr:rowOff>19049</xdr:rowOff>
    </xdr:from>
    <xdr:to>
      <xdr:col>39</xdr:col>
      <xdr:colOff>118836</xdr:colOff>
      <xdr:row>102</xdr:row>
      <xdr:rowOff>133349</xdr:rowOff>
    </xdr:to>
    <xdr:sp macro="" textlink="">
      <xdr:nvSpPr>
        <xdr:cNvPr id="18032" name="99"/>
        <xdr:cNvSpPr/>
      </xdr:nvSpPr>
      <xdr:spPr>
        <a:xfrm>
          <a:off x="18584092" y="157695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97972</xdr:colOff>
      <xdr:row>102</xdr:row>
      <xdr:rowOff>76199</xdr:rowOff>
    </xdr:from>
    <xdr:to>
      <xdr:col>39</xdr:col>
      <xdr:colOff>97972</xdr:colOff>
      <xdr:row>102</xdr:row>
      <xdr:rowOff>76199</xdr:rowOff>
    </xdr:to>
    <xdr:cxnSp macro="">
      <xdr:nvCxnSpPr>
        <xdr:cNvPr id="18033" name="Straight Arrow Connector 18032"/>
        <xdr:cNvCxnSpPr/>
      </xdr:nvCxnSpPr>
      <xdr:spPr>
        <a:xfrm>
          <a:off x="18584092" y="15826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97972</xdr:colOff>
      <xdr:row>101</xdr:row>
      <xdr:rowOff>19049</xdr:rowOff>
    </xdr:from>
    <xdr:to>
      <xdr:col>39</xdr:col>
      <xdr:colOff>118836</xdr:colOff>
      <xdr:row>101</xdr:row>
      <xdr:rowOff>133349</xdr:rowOff>
    </xdr:to>
    <xdr:sp macro="" textlink="">
      <xdr:nvSpPr>
        <xdr:cNvPr id="18034" name="98"/>
        <xdr:cNvSpPr/>
      </xdr:nvSpPr>
      <xdr:spPr>
        <a:xfrm>
          <a:off x="18584092" y="156171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97972</xdr:colOff>
      <xdr:row>101</xdr:row>
      <xdr:rowOff>76199</xdr:rowOff>
    </xdr:from>
    <xdr:to>
      <xdr:col>39</xdr:col>
      <xdr:colOff>97972</xdr:colOff>
      <xdr:row>101</xdr:row>
      <xdr:rowOff>76199</xdr:rowOff>
    </xdr:to>
    <xdr:cxnSp macro="">
      <xdr:nvCxnSpPr>
        <xdr:cNvPr id="18035" name="Straight Arrow Connector 18034"/>
        <xdr:cNvCxnSpPr/>
      </xdr:nvCxnSpPr>
      <xdr:spPr>
        <a:xfrm>
          <a:off x="18584092" y="15674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58782</xdr:colOff>
      <xdr:row>100</xdr:row>
      <xdr:rowOff>19049</xdr:rowOff>
    </xdr:from>
    <xdr:to>
      <xdr:col>39</xdr:col>
      <xdr:colOff>118836</xdr:colOff>
      <xdr:row>100</xdr:row>
      <xdr:rowOff>133349</xdr:rowOff>
    </xdr:to>
    <xdr:sp macro="" textlink="">
      <xdr:nvSpPr>
        <xdr:cNvPr id="18036" name="97"/>
        <xdr:cNvSpPr/>
      </xdr:nvSpPr>
      <xdr:spPr>
        <a:xfrm>
          <a:off x="18544902" y="15464789"/>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58782</xdr:colOff>
      <xdr:row>100</xdr:row>
      <xdr:rowOff>76199</xdr:rowOff>
    </xdr:from>
    <xdr:to>
      <xdr:col>39</xdr:col>
      <xdr:colOff>58782</xdr:colOff>
      <xdr:row>100</xdr:row>
      <xdr:rowOff>76199</xdr:rowOff>
    </xdr:to>
    <xdr:cxnSp macro="">
      <xdr:nvCxnSpPr>
        <xdr:cNvPr id="18042" name="Straight Arrow Connector 18041"/>
        <xdr:cNvCxnSpPr/>
      </xdr:nvCxnSpPr>
      <xdr:spPr>
        <a:xfrm>
          <a:off x="18544902" y="15521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58782</xdr:colOff>
      <xdr:row>99</xdr:row>
      <xdr:rowOff>19049</xdr:rowOff>
    </xdr:from>
    <xdr:to>
      <xdr:col>39</xdr:col>
      <xdr:colOff>118836</xdr:colOff>
      <xdr:row>99</xdr:row>
      <xdr:rowOff>133349</xdr:rowOff>
    </xdr:to>
    <xdr:sp macro="" textlink="">
      <xdr:nvSpPr>
        <xdr:cNvPr id="18043" name="96"/>
        <xdr:cNvSpPr/>
      </xdr:nvSpPr>
      <xdr:spPr>
        <a:xfrm>
          <a:off x="18544902" y="15312389"/>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58782</xdr:colOff>
      <xdr:row>99</xdr:row>
      <xdr:rowOff>76199</xdr:rowOff>
    </xdr:from>
    <xdr:to>
      <xdr:col>39</xdr:col>
      <xdr:colOff>58782</xdr:colOff>
      <xdr:row>99</xdr:row>
      <xdr:rowOff>76199</xdr:rowOff>
    </xdr:to>
    <xdr:cxnSp macro="">
      <xdr:nvCxnSpPr>
        <xdr:cNvPr id="18044" name="Straight Arrow Connector 18043"/>
        <xdr:cNvCxnSpPr/>
      </xdr:nvCxnSpPr>
      <xdr:spPr>
        <a:xfrm>
          <a:off x="18544902" y="15369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39188</xdr:colOff>
      <xdr:row>98</xdr:row>
      <xdr:rowOff>19049</xdr:rowOff>
    </xdr:from>
    <xdr:to>
      <xdr:col>39</xdr:col>
      <xdr:colOff>99242</xdr:colOff>
      <xdr:row>98</xdr:row>
      <xdr:rowOff>133349</xdr:rowOff>
    </xdr:to>
    <xdr:sp macro="" textlink="">
      <xdr:nvSpPr>
        <xdr:cNvPr id="18047" name="95"/>
        <xdr:cNvSpPr/>
      </xdr:nvSpPr>
      <xdr:spPr>
        <a:xfrm>
          <a:off x="18525308" y="15159989"/>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39188</xdr:colOff>
      <xdr:row>98</xdr:row>
      <xdr:rowOff>76199</xdr:rowOff>
    </xdr:from>
    <xdr:to>
      <xdr:col>39</xdr:col>
      <xdr:colOff>39188</xdr:colOff>
      <xdr:row>98</xdr:row>
      <xdr:rowOff>76199</xdr:rowOff>
    </xdr:to>
    <xdr:cxnSp macro="">
      <xdr:nvCxnSpPr>
        <xdr:cNvPr id="18048" name="Straight Arrow Connector 18047"/>
        <xdr:cNvCxnSpPr/>
      </xdr:nvCxnSpPr>
      <xdr:spPr>
        <a:xfrm>
          <a:off x="18525308" y="15217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39188</xdr:colOff>
      <xdr:row>97</xdr:row>
      <xdr:rowOff>19049</xdr:rowOff>
    </xdr:from>
    <xdr:to>
      <xdr:col>39</xdr:col>
      <xdr:colOff>99242</xdr:colOff>
      <xdr:row>97</xdr:row>
      <xdr:rowOff>133349</xdr:rowOff>
    </xdr:to>
    <xdr:sp macro="" textlink="">
      <xdr:nvSpPr>
        <xdr:cNvPr id="18049" name="94"/>
        <xdr:cNvSpPr/>
      </xdr:nvSpPr>
      <xdr:spPr>
        <a:xfrm>
          <a:off x="18525308" y="15007589"/>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39</xdr:col>
      <xdr:colOff>39188</xdr:colOff>
      <xdr:row>97</xdr:row>
      <xdr:rowOff>76199</xdr:rowOff>
    </xdr:from>
    <xdr:to>
      <xdr:col>39</xdr:col>
      <xdr:colOff>39188</xdr:colOff>
      <xdr:row>97</xdr:row>
      <xdr:rowOff>76199</xdr:rowOff>
    </xdr:to>
    <xdr:cxnSp macro="">
      <xdr:nvCxnSpPr>
        <xdr:cNvPr id="18050" name="Straight Arrow Connector 18049"/>
        <xdr:cNvCxnSpPr/>
      </xdr:nvCxnSpPr>
      <xdr:spPr>
        <a:xfrm>
          <a:off x="18525308" y="15064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58783</xdr:colOff>
      <xdr:row>96</xdr:row>
      <xdr:rowOff>19049</xdr:rowOff>
    </xdr:from>
    <xdr:to>
      <xdr:col>39</xdr:col>
      <xdr:colOff>40458</xdr:colOff>
      <xdr:row>96</xdr:row>
      <xdr:rowOff>133349</xdr:rowOff>
    </xdr:to>
    <xdr:sp macro="" textlink="">
      <xdr:nvSpPr>
        <xdr:cNvPr id="18051" name="93"/>
        <xdr:cNvSpPr/>
      </xdr:nvSpPr>
      <xdr:spPr>
        <a:xfrm>
          <a:off x="18407743" y="14855189"/>
          <a:ext cx="1188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58783</xdr:colOff>
      <xdr:row>96</xdr:row>
      <xdr:rowOff>76199</xdr:rowOff>
    </xdr:from>
    <xdr:to>
      <xdr:col>38</xdr:col>
      <xdr:colOff>58783</xdr:colOff>
      <xdr:row>96</xdr:row>
      <xdr:rowOff>76199</xdr:rowOff>
    </xdr:to>
    <xdr:cxnSp macro="">
      <xdr:nvCxnSpPr>
        <xdr:cNvPr id="18052" name="Straight Arrow Connector 18051"/>
        <xdr:cNvCxnSpPr/>
      </xdr:nvCxnSpPr>
      <xdr:spPr>
        <a:xfrm>
          <a:off x="18407743" y="14912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58783</xdr:colOff>
      <xdr:row>95</xdr:row>
      <xdr:rowOff>19049</xdr:rowOff>
    </xdr:from>
    <xdr:to>
      <xdr:col>39</xdr:col>
      <xdr:colOff>40458</xdr:colOff>
      <xdr:row>95</xdr:row>
      <xdr:rowOff>133349</xdr:rowOff>
    </xdr:to>
    <xdr:sp macro="" textlink="">
      <xdr:nvSpPr>
        <xdr:cNvPr id="18053" name="92"/>
        <xdr:cNvSpPr/>
      </xdr:nvSpPr>
      <xdr:spPr>
        <a:xfrm>
          <a:off x="18407743" y="14702789"/>
          <a:ext cx="1188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58783</xdr:colOff>
      <xdr:row>95</xdr:row>
      <xdr:rowOff>76199</xdr:rowOff>
    </xdr:from>
    <xdr:to>
      <xdr:col>38</xdr:col>
      <xdr:colOff>58783</xdr:colOff>
      <xdr:row>95</xdr:row>
      <xdr:rowOff>76199</xdr:rowOff>
    </xdr:to>
    <xdr:cxnSp macro="">
      <xdr:nvCxnSpPr>
        <xdr:cNvPr id="18054" name="Straight Arrow Connector 18053"/>
        <xdr:cNvCxnSpPr/>
      </xdr:nvCxnSpPr>
      <xdr:spPr>
        <a:xfrm>
          <a:off x="18407743" y="14759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94</xdr:row>
      <xdr:rowOff>19049</xdr:rowOff>
    </xdr:from>
    <xdr:to>
      <xdr:col>38</xdr:col>
      <xdr:colOff>60053</xdr:colOff>
      <xdr:row>94</xdr:row>
      <xdr:rowOff>133349</xdr:rowOff>
    </xdr:to>
    <xdr:sp macro="" textlink="">
      <xdr:nvSpPr>
        <xdr:cNvPr id="18055" name="91"/>
        <xdr:cNvSpPr/>
      </xdr:nvSpPr>
      <xdr:spPr>
        <a:xfrm>
          <a:off x="18368555" y="145503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94</xdr:row>
      <xdr:rowOff>76199</xdr:rowOff>
    </xdr:from>
    <xdr:to>
      <xdr:col>38</xdr:col>
      <xdr:colOff>19595</xdr:colOff>
      <xdr:row>94</xdr:row>
      <xdr:rowOff>76199</xdr:rowOff>
    </xdr:to>
    <xdr:cxnSp macro="">
      <xdr:nvCxnSpPr>
        <xdr:cNvPr id="18056" name="Straight Arrow Connector 18055"/>
        <xdr:cNvCxnSpPr/>
      </xdr:nvCxnSpPr>
      <xdr:spPr>
        <a:xfrm>
          <a:off x="18368555" y="14607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93</xdr:row>
      <xdr:rowOff>19049</xdr:rowOff>
    </xdr:from>
    <xdr:to>
      <xdr:col>38</xdr:col>
      <xdr:colOff>60053</xdr:colOff>
      <xdr:row>93</xdr:row>
      <xdr:rowOff>133349</xdr:rowOff>
    </xdr:to>
    <xdr:sp macro="" textlink="">
      <xdr:nvSpPr>
        <xdr:cNvPr id="18057" name="90"/>
        <xdr:cNvSpPr/>
      </xdr:nvSpPr>
      <xdr:spPr>
        <a:xfrm>
          <a:off x="18368555" y="143979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93</xdr:row>
      <xdr:rowOff>76199</xdr:rowOff>
    </xdr:from>
    <xdr:to>
      <xdr:col>38</xdr:col>
      <xdr:colOff>19595</xdr:colOff>
      <xdr:row>93</xdr:row>
      <xdr:rowOff>76199</xdr:rowOff>
    </xdr:to>
    <xdr:cxnSp macro="">
      <xdr:nvCxnSpPr>
        <xdr:cNvPr id="18058" name="Straight Arrow Connector 18057"/>
        <xdr:cNvCxnSpPr/>
      </xdr:nvCxnSpPr>
      <xdr:spPr>
        <a:xfrm>
          <a:off x="18368555" y="14455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92</xdr:row>
      <xdr:rowOff>19049</xdr:rowOff>
    </xdr:from>
    <xdr:to>
      <xdr:col>38</xdr:col>
      <xdr:colOff>60053</xdr:colOff>
      <xdr:row>92</xdr:row>
      <xdr:rowOff>133349</xdr:rowOff>
    </xdr:to>
    <xdr:sp macro="" textlink="">
      <xdr:nvSpPr>
        <xdr:cNvPr id="18059" name="89"/>
        <xdr:cNvSpPr/>
      </xdr:nvSpPr>
      <xdr:spPr>
        <a:xfrm>
          <a:off x="18368555" y="142455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92</xdr:row>
      <xdr:rowOff>76199</xdr:rowOff>
    </xdr:from>
    <xdr:to>
      <xdr:col>38</xdr:col>
      <xdr:colOff>19595</xdr:colOff>
      <xdr:row>92</xdr:row>
      <xdr:rowOff>76199</xdr:rowOff>
    </xdr:to>
    <xdr:cxnSp macro="">
      <xdr:nvCxnSpPr>
        <xdr:cNvPr id="18060" name="Straight Arrow Connector 18059"/>
        <xdr:cNvCxnSpPr/>
      </xdr:nvCxnSpPr>
      <xdr:spPr>
        <a:xfrm>
          <a:off x="18368555" y="14302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91</xdr:row>
      <xdr:rowOff>19049</xdr:rowOff>
    </xdr:from>
    <xdr:to>
      <xdr:col>38</xdr:col>
      <xdr:colOff>60053</xdr:colOff>
      <xdr:row>91</xdr:row>
      <xdr:rowOff>133349</xdr:rowOff>
    </xdr:to>
    <xdr:sp macro="" textlink="">
      <xdr:nvSpPr>
        <xdr:cNvPr id="18061" name="88"/>
        <xdr:cNvSpPr/>
      </xdr:nvSpPr>
      <xdr:spPr>
        <a:xfrm>
          <a:off x="18368555" y="14093189"/>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91</xdr:row>
      <xdr:rowOff>76199</xdr:rowOff>
    </xdr:from>
    <xdr:to>
      <xdr:col>38</xdr:col>
      <xdr:colOff>19595</xdr:colOff>
      <xdr:row>91</xdr:row>
      <xdr:rowOff>76199</xdr:rowOff>
    </xdr:to>
    <xdr:cxnSp macro="">
      <xdr:nvCxnSpPr>
        <xdr:cNvPr id="18062" name="Straight Arrow Connector 18061"/>
        <xdr:cNvCxnSpPr/>
      </xdr:nvCxnSpPr>
      <xdr:spPr>
        <a:xfrm>
          <a:off x="18368555" y="14150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90</xdr:row>
      <xdr:rowOff>19049</xdr:rowOff>
    </xdr:from>
    <xdr:to>
      <xdr:col>39</xdr:col>
      <xdr:colOff>118836</xdr:colOff>
      <xdr:row>90</xdr:row>
      <xdr:rowOff>133349</xdr:rowOff>
    </xdr:to>
    <xdr:sp macro="" textlink="">
      <xdr:nvSpPr>
        <xdr:cNvPr id="18063" name="87"/>
        <xdr:cNvSpPr/>
      </xdr:nvSpPr>
      <xdr:spPr>
        <a:xfrm>
          <a:off x="18368555" y="13940789"/>
          <a:ext cx="2364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90</xdr:row>
      <xdr:rowOff>76199</xdr:rowOff>
    </xdr:from>
    <xdr:to>
      <xdr:col>38</xdr:col>
      <xdr:colOff>19595</xdr:colOff>
      <xdr:row>90</xdr:row>
      <xdr:rowOff>76199</xdr:rowOff>
    </xdr:to>
    <xdr:cxnSp macro="">
      <xdr:nvCxnSpPr>
        <xdr:cNvPr id="18064" name="Straight Arrow Connector 18063"/>
        <xdr:cNvCxnSpPr/>
      </xdr:nvCxnSpPr>
      <xdr:spPr>
        <a:xfrm>
          <a:off x="18368555" y="13997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89</xdr:row>
      <xdr:rowOff>19049</xdr:rowOff>
    </xdr:from>
    <xdr:to>
      <xdr:col>39</xdr:col>
      <xdr:colOff>118836</xdr:colOff>
      <xdr:row>89</xdr:row>
      <xdr:rowOff>133349</xdr:rowOff>
    </xdr:to>
    <xdr:sp macro="" textlink="">
      <xdr:nvSpPr>
        <xdr:cNvPr id="18065" name="86"/>
        <xdr:cNvSpPr/>
      </xdr:nvSpPr>
      <xdr:spPr>
        <a:xfrm>
          <a:off x="18368555" y="13788389"/>
          <a:ext cx="2364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89</xdr:row>
      <xdr:rowOff>76199</xdr:rowOff>
    </xdr:from>
    <xdr:to>
      <xdr:col>38</xdr:col>
      <xdr:colOff>19595</xdr:colOff>
      <xdr:row>89</xdr:row>
      <xdr:rowOff>76199</xdr:rowOff>
    </xdr:to>
    <xdr:cxnSp macro="">
      <xdr:nvCxnSpPr>
        <xdr:cNvPr id="18066" name="Straight Arrow Connector 18065"/>
        <xdr:cNvCxnSpPr/>
      </xdr:nvCxnSpPr>
      <xdr:spPr>
        <a:xfrm>
          <a:off x="18368555" y="13845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88</xdr:row>
      <xdr:rowOff>19049</xdr:rowOff>
    </xdr:from>
    <xdr:to>
      <xdr:col>38</xdr:col>
      <xdr:colOff>118835</xdr:colOff>
      <xdr:row>88</xdr:row>
      <xdr:rowOff>133349</xdr:rowOff>
    </xdr:to>
    <xdr:sp macro="" textlink="">
      <xdr:nvSpPr>
        <xdr:cNvPr id="18068" name="85"/>
        <xdr:cNvSpPr/>
      </xdr:nvSpPr>
      <xdr:spPr>
        <a:xfrm>
          <a:off x="18368555" y="13635989"/>
          <a:ext cx="9924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88</xdr:row>
      <xdr:rowOff>76199</xdr:rowOff>
    </xdr:from>
    <xdr:to>
      <xdr:col>38</xdr:col>
      <xdr:colOff>19595</xdr:colOff>
      <xdr:row>88</xdr:row>
      <xdr:rowOff>76199</xdr:rowOff>
    </xdr:to>
    <xdr:cxnSp macro="">
      <xdr:nvCxnSpPr>
        <xdr:cNvPr id="18069" name="Straight Arrow Connector 18068"/>
        <xdr:cNvCxnSpPr/>
      </xdr:nvCxnSpPr>
      <xdr:spPr>
        <a:xfrm>
          <a:off x="18368555" y="136931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87</xdr:row>
      <xdr:rowOff>19049</xdr:rowOff>
    </xdr:from>
    <xdr:to>
      <xdr:col>39</xdr:col>
      <xdr:colOff>118836</xdr:colOff>
      <xdr:row>87</xdr:row>
      <xdr:rowOff>133349</xdr:rowOff>
    </xdr:to>
    <xdr:sp macro="" textlink="">
      <xdr:nvSpPr>
        <xdr:cNvPr id="18070" name="84"/>
        <xdr:cNvSpPr/>
      </xdr:nvSpPr>
      <xdr:spPr>
        <a:xfrm>
          <a:off x="18368555" y="13483589"/>
          <a:ext cx="2364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87</xdr:row>
      <xdr:rowOff>76199</xdr:rowOff>
    </xdr:from>
    <xdr:to>
      <xdr:col>38</xdr:col>
      <xdr:colOff>19595</xdr:colOff>
      <xdr:row>87</xdr:row>
      <xdr:rowOff>76199</xdr:rowOff>
    </xdr:to>
    <xdr:cxnSp macro="">
      <xdr:nvCxnSpPr>
        <xdr:cNvPr id="18071" name="Straight Arrow Connector 18070"/>
        <xdr:cNvCxnSpPr/>
      </xdr:nvCxnSpPr>
      <xdr:spPr>
        <a:xfrm>
          <a:off x="18368555" y="135407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86</xdr:row>
      <xdr:rowOff>19049</xdr:rowOff>
    </xdr:from>
    <xdr:to>
      <xdr:col>38</xdr:col>
      <xdr:colOff>40459</xdr:colOff>
      <xdr:row>86</xdr:row>
      <xdr:rowOff>133349</xdr:rowOff>
    </xdr:to>
    <xdr:sp macro="" textlink="">
      <xdr:nvSpPr>
        <xdr:cNvPr id="18072" name="83"/>
        <xdr:cNvSpPr/>
      </xdr:nvSpPr>
      <xdr:spPr>
        <a:xfrm>
          <a:off x="18368555" y="133311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86</xdr:row>
      <xdr:rowOff>76199</xdr:rowOff>
    </xdr:from>
    <xdr:to>
      <xdr:col>38</xdr:col>
      <xdr:colOff>19595</xdr:colOff>
      <xdr:row>86</xdr:row>
      <xdr:rowOff>76199</xdr:rowOff>
    </xdr:to>
    <xdr:cxnSp macro="">
      <xdr:nvCxnSpPr>
        <xdr:cNvPr id="18073" name="Straight Arrow Connector 18072"/>
        <xdr:cNvCxnSpPr/>
      </xdr:nvCxnSpPr>
      <xdr:spPr>
        <a:xfrm>
          <a:off x="18368555" y="133883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85</xdr:row>
      <xdr:rowOff>19049</xdr:rowOff>
    </xdr:from>
    <xdr:to>
      <xdr:col>38</xdr:col>
      <xdr:colOff>40459</xdr:colOff>
      <xdr:row>85</xdr:row>
      <xdr:rowOff>133349</xdr:rowOff>
    </xdr:to>
    <xdr:sp macro="" textlink="">
      <xdr:nvSpPr>
        <xdr:cNvPr id="18076" name="82"/>
        <xdr:cNvSpPr/>
      </xdr:nvSpPr>
      <xdr:spPr>
        <a:xfrm>
          <a:off x="18368555" y="13178789"/>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85</xdr:row>
      <xdr:rowOff>76199</xdr:rowOff>
    </xdr:from>
    <xdr:to>
      <xdr:col>38</xdr:col>
      <xdr:colOff>19595</xdr:colOff>
      <xdr:row>85</xdr:row>
      <xdr:rowOff>76199</xdr:rowOff>
    </xdr:to>
    <xdr:cxnSp macro="">
      <xdr:nvCxnSpPr>
        <xdr:cNvPr id="18077" name="Straight Arrow Connector 18076"/>
        <xdr:cNvCxnSpPr/>
      </xdr:nvCxnSpPr>
      <xdr:spPr>
        <a:xfrm>
          <a:off x="18368555" y="132359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19595</xdr:colOff>
      <xdr:row>84</xdr:row>
      <xdr:rowOff>19049</xdr:rowOff>
    </xdr:from>
    <xdr:to>
      <xdr:col>39</xdr:col>
      <xdr:colOff>118836</xdr:colOff>
      <xdr:row>84</xdr:row>
      <xdr:rowOff>133349</xdr:rowOff>
    </xdr:to>
    <xdr:sp macro="" textlink="">
      <xdr:nvSpPr>
        <xdr:cNvPr id="18079" name="81"/>
        <xdr:cNvSpPr/>
      </xdr:nvSpPr>
      <xdr:spPr>
        <a:xfrm>
          <a:off x="18368555" y="13026389"/>
          <a:ext cx="2364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19595</xdr:colOff>
      <xdr:row>84</xdr:row>
      <xdr:rowOff>76199</xdr:rowOff>
    </xdr:from>
    <xdr:to>
      <xdr:col>38</xdr:col>
      <xdr:colOff>19595</xdr:colOff>
      <xdr:row>84</xdr:row>
      <xdr:rowOff>76199</xdr:rowOff>
    </xdr:to>
    <xdr:cxnSp macro="">
      <xdr:nvCxnSpPr>
        <xdr:cNvPr id="62112" name="Straight Arrow Connector 62111"/>
        <xdr:cNvCxnSpPr/>
      </xdr:nvCxnSpPr>
      <xdr:spPr>
        <a:xfrm>
          <a:off x="18368555" y="130835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97971</xdr:colOff>
      <xdr:row>83</xdr:row>
      <xdr:rowOff>19050</xdr:rowOff>
    </xdr:from>
    <xdr:to>
      <xdr:col>37</xdr:col>
      <xdr:colOff>118836</xdr:colOff>
      <xdr:row>83</xdr:row>
      <xdr:rowOff>133350</xdr:rowOff>
    </xdr:to>
    <xdr:sp macro="" textlink="">
      <xdr:nvSpPr>
        <xdr:cNvPr id="62113" name="80"/>
        <xdr:cNvSpPr/>
      </xdr:nvSpPr>
      <xdr:spPr>
        <a:xfrm>
          <a:off x="18309771" y="128739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97971</xdr:colOff>
      <xdr:row>83</xdr:row>
      <xdr:rowOff>76200</xdr:rowOff>
    </xdr:from>
    <xdr:to>
      <xdr:col>37</xdr:col>
      <xdr:colOff>97971</xdr:colOff>
      <xdr:row>83</xdr:row>
      <xdr:rowOff>76200</xdr:rowOff>
    </xdr:to>
    <xdr:cxnSp macro="">
      <xdr:nvCxnSpPr>
        <xdr:cNvPr id="62114" name="Straight Arrow Connector 62113"/>
        <xdr:cNvCxnSpPr/>
      </xdr:nvCxnSpPr>
      <xdr:spPr>
        <a:xfrm>
          <a:off x="18309771" y="1293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97971</xdr:colOff>
      <xdr:row>82</xdr:row>
      <xdr:rowOff>19050</xdr:rowOff>
    </xdr:from>
    <xdr:to>
      <xdr:col>37</xdr:col>
      <xdr:colOff>118836</xdr:colOff>
      <xdr:row>82</xdr:row>
      <xdr:rowOff>133350</xdr:rowOff>
    </xdr:to>
    <xdr:sp macro="" textlink="">
      <xdr:nvSpPr>
        <xdr:cNvPr id="62115" name="79"/>
        <xdr:cNvSpPr/>
      </xdr:nvSpPr>
      <xdr:spPr>
        <a:xfrm>
          <a:off x="18309771" y="127215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97971</xdr:colOff>
      <xdr:row>82</xdr:row>
      <xdr:rowOff>76200</xdr:rowOff>
    </xdr:from>
    <xdr:to>
      <xdr:col>37</xdr:col>
      <xdr:colOff>97971</xdr:colOff>
      <xdr:row>82</xdr:row>
      <xdr:rowOff>76200</xdr:rowOff>
    </xdr:to>
    <xdr:cxnSp macro="">
      <xdr:nvCxnSpPr>
        <xdr:cNvPr id="62116" name="Straight Arrow Connector 62115"/>
        <xdr:cNvCxnSpPr/>
      </xdr:nvCxnSpPr>
      <xdr:spPr>
        <a:xfrm>
          <a:off x="18309771" y="1277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78377</xdr:colOff>
      <xdr:row>81</xdr:row>
      <xdr:rowOff>19050</xdr:rowOff>
    </xdr:from>
    <xdr:to>
      <xdr:col>37</xdr:col>
      <xdr:colOff>118836</xdr:colOff>
      <xdr:row>81</xdr:row>
      <xdr:rowOff>133350</xdr:rowOff>
    </xdr:to>
    <xdr:sp macro="" textlink="">
      <xdr:nvSpPr>
        <xdr:cNvPr id="62127" name="78"/>
        <xdr:cNvSpPr/>
      </xdr:nvSpPr>
      <xdr:spPr>
        <a:xfrm>
          <a:off x="18290177" y="12569190"/>
          <a:ext cx="404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78377</xdr:colOff>
      <xdr:row>81</xdr:row>
      <xdr:rowOff>76200</xdr:rowOff>
    </xdr:from>
    <xdr:to>
      <xdr:col>37</xdr:col>
      <xdr:colOff>78377</xdr:colOff>
      <xdr:row>81</xdr:row>
      <xdr:rowOff>76200</xdr:rowOff>
    </xdr:to>
    <xdr:cxnSp macro="">
      <xdr:nvCxnSpPr>
        <xdr:cNvPr id="62128" name="Straight Arrow Connector 62127"/>
        <xdr:cNvCxnSpPr/>
      </xdr:nvCxnSpPr>
      <xdr:spPr>
        <a:xfrm>
          <a:off x="18290177" y="1262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78377</xdr:colOff>
      <xdr:row>80</xdr:row>
      <xdr:rowOff>19050</xdr:rowOff>
    </xdr:from>
    <xdr:to>
      <xdr:col>37</xdr:col>
      <xdr:colOff>118836</xdr:colOff>
      <xdr:row>80</xdr:row>
      <xdr:rowOff>133350</xdr:rowOff>
    </xdr:to>
    <xdr:sp macro="" textlink="">
      <xdr:nvSpPr>
        <xdr:cNvPr id="62129" name="77"/>
        <xdr:cNvSpPr/>
      </xdr:nvSpPr>
      <xdr:spPr>
        <a:xfrm>
          <a:off x="18290177" y="12416790"/>
          <a:ext cx="404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78377</xdr:colOff>
      <xdr:row>80</xdr:row>
      <xdr:rowOff>76200</xdr:rowOff>
    </xdr:from>
    <xdr:to>
      <xdr:col>37</xdr:col>
      <xdr:colOff>78377</xdr:colOff>
      <xdr:row>80</xdr:row>
      <xdr:rowOff>76200</xdr:rowOff>
    </xdr:to>
    <xdr:cxnSp macro="">
      <xdr:nvCxnSpPr>
        <xdr:cNvPr id="62130" name="Straight Arrow Connector 62129"/>
        <xdr:cNvCxnSpPr/>
      </xdr:nvCxnSpPr>
      <xdr:spPr>
        <a:xfrm>
          <a:off x="18290177" y="1247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39188</xdr:colOff>
      <xdr:row>79</xdr:row>
      <xdr:rowOff>19050</xdr:rowOff>
    </xdr:from>
    <xdr:to>
      <xdr:col>37</xdr:col>
      <xdr:colOff>79646</xdr:colOff>
      <xdr:row>79</xdr:row>
      <xdr:rowOff>133350</xdr:rowOff>
    </xdr:to>
    <xdr:sp macro="" textlink="">
      <xdr:nvSpPr>
        <xdr:cNvPr id="62131" name="76"/>
        <xdr:cNvSpPr/>
      </xdr:nvSpPr>
      <xdr:spPr>
        <a:xfrm>
          <a:off x="18250988" y="122643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39188</xdr:colOff>
      <xdr:row>79</xdr:row>
      <xdr:rowOff>76200</xdr:rowOff>
    </xdr:from>
    <xdr:to>
      <xdr:col>37</xdr:col>
      <xdr:colOff>39188</xdr:colOff>
      <xdr:row>79</xdr:row>
      <xdr:rowOff>76200</xdr:rowOff>
    </xdr:to>
    <xdr:cxnSp macro="">
      <xdr:nvCxnSpPr>
        <xdr:cNvPr id="62132" name="Straight Arrow Connector 62131"/>
        <xdr:cNvCxnSpPr/>
      </xdr:nvCxnSpPr>
      <xdr:spPr>
        <a:xfrm>
          <a:off x="18250988" y="1232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39188</xdr:colOff>
      <xdr:row>78</xdr:row>
      <xdr:rowOff>19050</xdr:rowOff>
    </xdr:from>
    <xdr:to>
      <xdr:col>37</xdr:col>
      <xdr:colOff>79646</xdr:colOff>
      <xdr:row>78</xdr:row>
      <xdr:rowOff>133350</xdr:rowOff>
    </xdr:to>
    <xdr:sp macro="" textlink="">
      <xdr:nvSpPr>
        <xdr:cNvPr id="62134" name="75"/>
        <xdr:cNvSpPr/>
      </xdr:nvSpPr>
      <xdr:spPr>
        <a:xfrm>
          <a:off x="18250988" y="121119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37</xdr:col>
      <xdr:colOff>39188</xdr:colOff>
      <xdr:row>78</xdr:row>
      <xdr:rowOff>76200</xdr:rowOff>
    </xdr:from>
    <xdr:to>
      <xdr:col>37</xdr:col>
      <xdr:colOff>39188</xdr:colOff>
      <xdr:row>78</xdr:row>
      <xdr:rowOff>76200</xdr:rowOff>
    </xdr:to>
    <xdr:cxnSp macro="">
      <xdr:nvCxnSpPr>
        <xdr:cNvPr id="62135" name="Straight Arrow Connector 62134"/>
        <xdr:cNvCxnSpPr/>
      </xdr:nvCxnSpPr>
      <xdr:spPr>
        <a:xfrm>
          <a:off x="18250988" y="1216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97972</xdr:colOff>
      <xdr:row>77</xdr:row>
      <xdr:rowOff>19050</xdr:rowOff>
    </xdr:from>
    <xdr:to>
      <xdr:col>37</xdr:col>
      <xdr:colOff>79646</xdr:colOff>
      <xdr:row>77</xdr:row>
      <xdr:rowOff>133350</xdr:rowOff>
    </xdr:to>
    <xdr:sp macro="" textlink="">
      <xdr:nvSpPr>
        <xdr:cNvPr id="62136" name="74"/>
        <xdr:cNvSpPr/>
      </xdr:nvSpPr>
      <xdr:spPr>
        <a:xfrm>
          <a:off x="18172612" y="11959590"/>
          <a:ext cx="1188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97972</xdr:colOff>
      <xdr:row>77</xdr:row>
      <xdr:rowOff>76200</xdr:rowOff>
    </xdr:from>
    <xdr:to>
      <xdr:col>36</xdr:col>
      <xdr:colOff>97972</xdr:colOff>
      <xdr:row>77</xdr:row>
      <xdr:rowOff>76200</xdr:rowOff>
    </xdr:to>
    <xdr:cxnSp macro="">
      <xdr:nvCxnSpPr>
        <xdr:cNvPr id="62137" name="Straight Arrow Connector 62136"/>
        <xdr:cNvCxnSpPr/>
      </xdr:nvCxnSpPr>
      <xdr:spPr>
        <a:xfrm>
          <a:off x="18172612" y="1201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97972</xdr:colOff>
      <xdr:row>76</xdr:row>
      <xdr:rowOff>19050</xdr:rowOff>
    </xdr:from>
    <xdr:to>
      <xdr:col>37</xdr:col>
      <xdr:colOff>79646</xdr:colOff>
      <xdr:row>76</xdr:row>
      <xdr:rowOff>133350</xdr:rowOff>
    </xdr:to>
    <xdr:sp macro="" textlink="">
      <xdr:nvSpPr>
        <xdr:cNvPr id="62138" name="73"/>
        <xdr:cNvSpPr/>
      </xdr:nvSpPr>
      <xdr:spPr>
        <a:xfrm>
          <a:off x="18172612" y="11807190"/>
          <a:ext cx="1188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97972</xdr:colOff>
      <xdr:row>76</xdr:row>
      <xdr:rowOff>76200</xdr:rowOff>
    </xdr:from>
    <xdr:to>
      <xdr:col>36</xdr:col>
      <xdr:colOff>97972</xdr:colOff>
      <xdr:row>76</xdr:row>
      <xdr:rowOff>76200</xdr:rowOff>
    </xdr:to>
    <xdr:cxnSp macro="">
      <xdr:nvCxnSpPr>
        <xdr:cNvPr id="62139" name="Straight Arrow Connector 62138"/>
        <xdr:cNvCxnSpPr/>
      </xdr:nvCxnSpPr>
      <xdr:spPr>
        <a:xfrm>
          <a:off x="18172612" y="1186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78378</xdr:colOff>
      <xdr:row>75</xdr:row>
      <xdr:rowOff>19050</xdr:rowOff>
    </xdr:from>
    <xdr:to>
      <xdr:col>36</xdr:col>
      <xdr:colOff>99241</xdr:colOff>
      <xdr:row>75</xdr:row>
      <xdr:rowOff>133350</xdr:rowOff>
    </xdr:to>
    <xdr:sp macro="" textlink="">
      <xdr:nvSpPr>
        <xdr:cNvPr id="62140" name="72"/>
        <xdr:cNvSpPr/>
      </xdr:nvSpPr>
      <xdr:spPr>
        <a:xfrm>
          <a:off x="18153018" y="11654790"/>
          <a:ext cx="208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78378</xdr:colOff>
      <xdr:row>75</xdr:row>
      <xdr:rowOff>76200</xdr:rowOff>
    </xdr:from>
    <xdr:to>
      <xdr:col>36</xdr:col>
      <xdr:colOff>78378</xdr:colOff>
      <xdr:row>75</xdr:row>
      <xdr:rowOff>76200</xdr:rowOff>
    </xdr:to>
    <xdr:cxnSp macro="">
      <xdr:nvCxnSpPr>
        <xdr:cNvPr id="62141" name="Straight Arrow Connector 62140"/>
        <xdr:cNvCxnSpPr/>
      </xdr:nvCxnSpPr>
      <xdr:spPr>
        <a:xfrm>
          <a:off x="18153018" y="1171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58783</xdr:colOff>
      <xdr:row>74</xdr:row>
      <xdr:rowOff>19050</xdr:rowOff>
    </xdr:from>
    <xdr:to>
      <xdr:col>36</xdr:col>
      <xdr:colOff>99241</xdr:colOff>
      <xdr:row>74</xdr:row>
      <xdr:rowOff>133350</xdr:rowOff>
    </xdr:to>
    <xdr:sp macro="" textlink="">
      <xdr:nvSpPr>
        <xdr:cNvPr id="18080" name="71"/>
        <xdr:cNvSpPr/>
      </xdr:nvSpPr>
      <xdr:spPr>
        <a:xfrm>
          <a:off x="18133423" y="115023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58783</xdr:colOff>
      <xdr:row>74</xdr:row>
      <xdr:rowOff>76200</xdr:rowOff>
    </xdr:from>
    <xdr:to>
      <xdr:col>36</xdr:col>
      <xdr:colOff>58783</xdr:colOff>
      <xdr:row>74</xdr:row>
      <xdr:rowOff>76200</xdr:rowOff>
    </xdr:to>
    <xdr:cxnSp macro="">
      <xdr:nvCxnSpPr>
        <xdr:cNvPr id="18081" name="Straight Arrow Connector 18080"/>
        <xdr:cNvCxnSpPr/>
      </xdr:nvCxnSpPr>
      <xdr:spPr>
        <a:xfrm>
          <a:off x="18133423" y="1155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39189</xdr:colOff>
      <xdr:row>73</xdr:row>
      <xdr:rowOff>19050</xdr:rowOff>
    </xdr:from>
    <xdr:to>
      <xdr:col>36</xdr:col>
      <xdr:colOff>79647</xdr:colOff>
      <xdr:row>73</xdr:row>
      <xdr:rowOff>133350</xdr:rowOff>
    </xdr:to>
    <xdr:sp macro="" textlink="">
      <xdr:nvSpPr>
        <xdr:cNvPr id="18082" name="70"/>
        <xdr:cNvSpPr/>
      </xdr:nvSpPr>
      <xdr:spPr>
        <a:xfrm>
          <a:off x="18113829" y="113499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39189</xdr:colOff>
      <xdr:row>73</xdr:row>
      <xdr:rowOff>76200</xdr:rowOff>
    </xdr:from>
    <xdr:to>
      <xdr:col>36</xdr:col>
      <xdr:colOff>39189</xdr:colOff>
      <xdr:row>73</xdr:row>
      <xdr:rowOff>76200</xdr:rowOff>
    </xdr:to>
    <xdr:cxnSp macro="">
      <xdr:nvCxnSpPr>
        <xdr:cNvPr id="18083" name="Straight Arrow Connector 18082"/>
        <xdr:cNvCxnSpPr/>
      </xdr:nvCxnSpPr>
      <xdr:spPr>
        <a:xfrm>
          <a:off x="18113829" y="1140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39189</xdr:colOff>
      <xdr:row>72</xdr:row>
      <xdr:rowOff>19050</xdr:rowOff>
    </xdr:from>
    <xdr:to>
      <xdr:col>36</xdr:col>
      <xdr:colOff>79647</xdr:colOff>
      <xdr:row>72</xdr:row>
      <xdr:rowOff>133350</xdr:rowOff>
    </xdr:to>
    <xdr:sp macro="" textlink="">
      <xdr:nvSpPr>
        <xdr:cNvPr id="18084" name="69"/>
        <xdr:cNvSpPr/>
      </xdr:nvSpPr>
      <xdr:spPr>
        <a:xfrm>
          <a:off x="18113829" y="111975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39189</xdr:colOff>
      <xdr:row>72</xdr:row>
      <xdr:rowOff>76200</xdr:rowOff>
    </xdr:from>
    <xdr:to>
      <xdr:col>36</xdr:col>
      <xdr:colOff>39189</xdr:colOff>
      <xdr:row>72</xdr:row>
      <xdr:rowOff>76200</xdr:rowOff>
    </xdr:to>
    <xdr:cxnSp macro="">
      <xdr:nvCxnSpPr>
        <xdr:cNvPr id="18085" name="Straight Arrow Connector 18084"/>
        <xdr:cNvCxnSpPr/>
      </xdr:nvCxnSpPr>
      <xdr:spPr>
        <a:xfrm>
          <a:off x="18113829" y="1125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71</xdr:row>
      <xdr:rowOff>19050</xdr:rowOff>
    </xdr:from>
    <xdr:to>
      <xdr:col>36</xdr:col>
      <xdr:colOff>40459</xdr:colOff>
      <xdr:row>71</xdr:row>
      <xdr:rowOff>133350</xdr:rowOff>
    </xdr:to>
    <xdr:sp macro="" textlink="">
      <xdr:nvSpPr>
        <xdr:cNvPr id="18086" name="68"/>
        <xdr:cNvSpPr/>
      </xdr:nvSpPr>
      <xdr:spPr>
        <a:xfrm>
          <a:off x="18094234" y="110451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71</xdr:row>
      <xdr:rowOff>76200</xdr:rowOff>
    </xdr:from>
    <xdr:to>
      <xdr:col>36</xdr:col>
      <xdr:colOff>19594</xdr:colOff>
      <xdr:row>71</xdr:row>
      <xdr:rowOff>76200</xdr:rowOff>
    </xdr:to>
    <xdr:cxnSp macro="">
      <xdr:nvCxnSpPr>
        <xdr:cNvPr id="18087" name="Straight Arrow Connector 18086"/>
        <xdr:cNvCxnSpPr/>
      </xdr:nvCxnSpPr>
      <xdr:spPr>
        <a:xfrm>
          <a:off x="18094234" y="1110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70</xdr:row>
      <xdr:rowOff>19050</xdr:rowOff>
    </xdr:from>
    <xdr:to>
      <xdr:col>36</xdr:col>
      <xdr:colOff>60053</xdr:colOff>
      <xdr:row>70</xdr:row>
      <xdr:rowOff>133350</xdr:rowOff>
    </xdr:to>
    <xdr:sp macro="" textlink="">
      <xdr:nvSpPr>
        <xdr:cNvPr id="18088" name="67"/>
        <xdr:cNvSpPr/>
      </xdr:nvSpPr>
      <xdr:spPr>
        <a:xfrm>
          <a:off x="18094234" y="10892790"/>
          <a:ext cx="404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70</xdr:row>
      <xdr:rowOff>76200</xdr:rowOff>
    </xdr:from>
    <xdr:to>
      <xdr:col>36</xdr:col>
      <xdr:colOff>19594</xdr:colOff>
      <xdr:row>70</xdr:row>
      <xdr:rowOff>76200</xdr:rowOff>
    </xdr:to>
    <xdr:cxnSp macro="">
      <xdr:nvCxnSpPr>
        <xdr:cNvPr id="18090" name="Straight Arrow Connector 18089"/>
        <xdr:cNvCxnSpPr/>
      </xdr:nvCxnSpPr>
      <xdr:spPr>
        <a:xfrm>
          <a:off x="18094234" y="1094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69</xdr:row>
      <xdr:rowOff>19050</xdr:rowOff>
    </xdr:from>
    <xdr:to>
      <xdr:col>37</xdr:col>
      <xdr:colOff>118836</xdr:colOff>
      <xdr:row>69</xdr:row>
      <xdr:rowOff>133350</xdr:rowOff>
    </xdr:to>
    <xdr:sp macro="" textlink="">
      <xdr:nvSpPr>
        <xdr:cNvPr id="18091" name="66"/>
        <xdr:cNvSpPr/>
      </xdr:nvSpPr>
      <xdr:spPr>
        <a:xfrm>
          <a:off x="18094234" y="10740390"/>
          <a:ext cx="2364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69</xdr:row>
      <xdr:rowOff>76200</xdr:rowOff>
    </xdr:from>
    <xdr:to>
      <xdr:col>36</xdr:col>
      <xdr:colOff>19594</xdr:colOff>
      <xdr:row>69</xdr:row>
      <xdr:rowOff>76200</xdr:rowOff>
    </xdr:to>
    <xdr:cxnSp macro="">
      <xdr:nvCxnSpPr>
        <xdr:cNvPr id="18092" name="Straight Arrow Connector 18091"/>
        <xdr:cNvCxnSpPr/>
      </xdr:nvCxnSpPr>
      <xdr:spPr>
        <a:xfrm>
          <a:off x="18094234" y="1079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68</xdr:row>
      <xdr:rowOff>19050</xdr:rowOff>
    </xdr:from>
    <xdr:to>
      <xdr:col>37</xdr:col>
      <xdr:colOff>118836</xdr:colOff>
      <xdr:row>68</xdr:row>
      <xdr:rowOff>133350</xdr:rowOff>
    </xdr:to>
    <xdr:sp macro="" textlink="">
      <xdr:nvSpPr>
        <xdr:cNvPr id="18107" name="65"/>
        <xdr:cNvSpPr/>
      </xdr:nvSpPr>
      <xdr:spPr>
        <a:xfrm>
          <a:off x="18094234" y="10587990"/>
          <a:ext cx="2364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68</xdr:row>
      <xdr:rowOff>76200</xdr:rowOff>
    </xdr:from>
    <xdr:to>
      <xdr:col>36</xdr:col>
      <xdr:colOff>19594</xdr:colOff>
      <xdr:row>68</xdr:row>
      <xdr:rowOff>76200</xdr:rowOff>
    </xdr:to>
    <xdr:cxnSp macro="">
      <xdr:nvCxnSpPr>
        <xdr:cNvPr id="18108" name="Straight Arrow Connector 18107"/>
        <xdr:cNvCxnSpPr/>
      </xdr:nvCxnSpPr>
      <xdr:spPr>
        <a:xfrm>
          <a:off x="18094234" y="1064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67</xdr:row>
      <xdr:rowOff>19050</xdr:rowOff>
    </xdr:from>
    <xdr:to>
      <xdr:col>36</xdr:col>
      <xdr:colOff>118836</xdr:colOff>
      <xdr:row>67</xdr:row>
      <xdr:rowOff>133350</xdr:rowOff>
    </xdr:to>
    <xdr:sp macro="" textlink="">
      <xdr:nvSpPr>
        <xdr:cNvPr id="18109" name="64"/>
        <xdr:cNvSpPr/>
      </xdr:nvSpPr>
      <xdr:spPr>
        <a:xfrm>
          <a:off x="18094234" y="10435590"/>
          <a:ext cx="99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67</xdr:row>
      <xdr:rowOff>76200</xdr:rowOff>
    </xdr:from>
    <xdr:to>
      <xdr:col>36</xdr:col>
      <xdr:colOff>19594</xdr:colOff>
      <xdr:row>67</xdr:row>
      <xdr:rowOff>76200</xdr:rowOff>
    </xdr:to>
    <xdr:cxnSp macro="">
      <xdr:nvCxnSpPr>
        <xdr:cNvPr id="18110" name="Straight Arrow Connector 18109"/>
        <xdr:cNvCxnSpPr/>
      </xdr:nvCxnSpPr>
      <xdr:spPr>
        <a:xfrm>
          <a:off x="18094234" y="1049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66</xdr:row>
      <xdr:rowOff>19050</xdr:rowOff>
    </xdr:from>
    <xdr:to>
      <xdr:col>37</xdr:col>
      <xdr:colOff>118836</xdr:colOff>
      <xdr:row>66</xdr:row>
      <xdr:rowOff>133350</xdr:rowOff>
    </xdr:to>
    <xdr:sp macro="" textlink="">
      <xdr:nvSpPr>
        <xdr:cNvPr id="18111" name="63"/>
        <xdr:cNvSpPr/>
      </xdr:nvSpPr>
      <xdr:spPr>
        <a:xfrm>
          <a:off x="18094234" y="10283190"/>
          <a:ext cx="2364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66</xdr:row>
      <xdr:rowOff>76200</xdr:rowOff>
    </xdr:from>
    <xdr:to>
      <xdr:col>36</xdr:col>
      <xdr:colOff>19594</xdr:colOff>
      <xdr:row>66</xdr:row>
      <xdr:rowOff>76200</xdr:rowOff>
    </xdr:to>
    <xdr:cxnSp macro="">
      <xdr:nvCxnSpPr>
        <xdr:cNvPr id="18112" name="Straight Arrow Connector 18111"/>
        <xdr:cNvCxnSpPr/>
      </xdr:nvCxnSpPr>
      <xdr:spPr>
        <a:xfrm>
          <a:off x="18094234" y="1034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65</xdr:row>
      <xdr:rowOff>19050</xdr:rowOff>
    </xdr:from>
    <xdr:to>
      <xdr:col>36</xdr:col>
      <xdr:colOff>40459</xdr:colOff>
      <xdr:row>65</xdr:row>
      <xdr:rowOff>133350</xdr:rowOff>
    </xdr:to>
    <xdr:sp macro="" textlink="">
      <xdr:nvSpPr>
        <xdr:cNvPr id="18113" name="62"/>
        <xdr:cNvSpPr/>
      </xdr:nvSpPr>
      <xdr:spPr>
        <a:xfrm>
          <a:off x="18094234" y="101307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65</xdr:row>
      <xdr:rowOff>76200</xdr:rowOff>
    </xdr:from>
    <xdr:to>
      <xdr:col>36</xdr:col>
      <xdr:colOff>19594</xdr:colOff>
      <xdr:row>65</xdr:row>
      <xdr:rowOff>76200</xdr:rowOff>
    </xdr:to>
    <xdr:cxnSp macro="">
      <xdr:nvCxnSpPr>
        <xdr:cNvPr id="18114" name="Straight Arrow Connector 18113"/>
        <xdr:cNvCxnSpPr/>
      </xdr:nvCxnSpPr>
      <xdr:spPr>
        <a:xfrm>
          <a:off x="18094234" y="1018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64</xdr:row>
      <xdr:rowOff>19050</xdr:rowOff>
    </xdr:from>
    <xdr:to>
      <xdr:col>36</xdr:col>
      <xdr:colOff>40459</xdr:colOff>
      <xdr:row>64</xdr:row>
      <xdr:rowOff>133350</xdr:rowOff>
    </xdr:to>
    <xdr:sp macro="" textlink="">
      <xdr:nvSpPr>
        <xdr:cNvPr id="18115" name="61"/>
        <xdr:cNvSpPr/>
      </xdr:nvSpPr>
      <xdr:spPr>
        <a:xfrm>
          <a:off x="18094234" y="99783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64</xdr:row>
      <xdr:rowOff>76200</xdr:rowOff>
    </xdr:from>
    <xdr:to>
      <xdr:col>36</xdr:col>
      <xdr:colOff>19594</xdr:colOff>
      <xdr:row>64</xdr:row>
      <xdr:rowOff>76200</xdr:rowOff>
    </xdr:to>
    <xdr:cxnSp macro="">
      <xdr:nvCxnSpPr>
        <xdr:cNvPr id="18116" name="Straight Arrow Connector 18115"/>
        <xdr:cNvCxnSpPr/>
      </xdr:nvCxnSpPr>
      <xdr:spPr>
        <a:xfrm>
          <a:off x="18094234" y="1003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19594</xdr:colOff>
      <xdr:row>63</xdr:row>
      <xdr:rowOff>19050</xdr:rowOff>
    </xdr:from>
    <xdr:to>
      <xdr:col>37</xdr:col>
      <xdr:colOff>118836</xdr:colOff>
      <xdr:row>63</xdr:row>
      <xdr:rowOff>133350</xdr:rowOff>
    </xdr:to>
    <xdr:sp macro="" textlink="">
      <xdr:nvSpPr>
        <xdr:cNvPr id="18117" name="60"/>
        <xdr:cNvSpPr/>
      </xdr:nvSpPr>
      <xdr:spPr>
        <a:xfrm>
          <a:off x="18094234" y="9825990"/>
          <a:ext cx="2364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36</xdr:col>
      <xdr:colOff>19594</xdr:colOff>
      <xdr:row>63</xdr:row>
      <xdr:rowOff>76200</xdr:rowOff>
    </xdr:from>
    <xdr:to>
      <xdr:col>36</xdr:col>
      <xdr:colOff>19594</xdr:colOff>
      <xdr:row>63</xdr:row>
      <xdr:rowOff>76200</xdr:rowOff>
    </xdr:to>
    <xdr:cxnSp macro="">
      <xdr:nvCxnSpPr>
        <xdr:cNvPr id="18118" name="Straight Arrow Connector 18117"/>
        <xdr:cNvCxnSpPr/>
      </xdr:nvCxnSpPr>
      <xdr:spPr>
        <a:xfrm>
          <a:off x="18094234" y="988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97971</xdr:colOff>
      <xdr:row>62</xdr:row>
      <xdr:rowOff>19050</xdr:rowOff>
    </xdr:from>
    <xdr:to>
      <xdr:col>35</xdr:col>
      <xdr:colOff>118835</xdr:colOff>
      <xdr:row>62</xdr:row>
      <xdr:rowOff>133350</xdr:rowOff>
    </xdr:to>
    <xdr:sp macro="" textlink="">
      <xdr:nvSpPr>
        <xdr:cNvPr id="18119" name="59"/>
        <xdr:cNvSpPr/>
      </xdr:nvSpPr>
      <xdr:spPr>
        <a:xfrm>
          <a:off x="18035451" y="96735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97971</xdr:colOff>
      <xdr:row>62</xdr:row>
      <xdr:rowOff>76200</xdr:rowOff>
    </xdr:from>
    <xdr:to>
      <xdr:col>35</xdr:col>
      <xdr:colOff>97971</xdr:colOff>
      <xdr:row>62</xdr:row>
      <xdr:rowOff>76200</xdr:rowOff>
    </xdr:to>
    <xdr:cxnSp macro="">
      <xdr:nvCxnSpPr>
        <xdr:cNvPr id="18120" name="Straight Arrow Connector 18119"/>
        <xdr:cNvCxnSpPr/>
      </xdr:nvCxnSpPr>
      <xdr:spPr>
        <a:xfrm>
          <a:off x="18035451" y="973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97971</xdr:colOff>
      <xdr:row>61</xdr:row>
      <xdr:rowOff>19050</xdr:rowOff>
    </xdr:from>
    <xdr:to>
      <xdr:col>35</xdr:col>
      <xdr:colOff>118835</xdr:colOff>
      <xdr:row>61</xdr:row>
      <xdr:rowOff>133350</xdr:rowOff>
    </xdr:to>
    <xdr:sp macro="" textlink="">
      <xdr:nvSpPr>
        <xdr:cNvPr id="18121" name="58"/>
        <xdr:cNvSpPr/>
      </xdr:nvSpPr>
      <xdr:spPr>
        <a:xfrm>
          <a:off x="18035451" y="95211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97971</xdr:colOff>
      <xdr:row>61</xdr:row>
      <xdr:rowOff>76200</xdr:rowOff>
    </xdr:from>
    <xdr:to>
      <xdr:col>35</xdr:col>
      <xdr:colOff>97971</xdr:colOff>
      <xdr:row>61</xdr:row>
      <xdr:rowOff>76200</xdr:rowOff>
    </xdr:to>
    <xdr:cxnSp macro="">
      <xdr:nvCxnSpPr>
        <xdr:cNvPr id="18122" name="Straight Arrow Connector 18121"/>
        <xdr:cNvCxnSpPr/>
      </xdr:nvCxnSpPr>
      <xdr:spPr>
        <a:xfrm>
          <a:off x="18035451" y="957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58783</xdr:colOff>
      <xdr:row>60</xdr:row>
      <xdr:rowOff>19050</xdr:rowOff>
    </xdr:from>
    <xdr:to>
      <xdr:col>35</xdr:col>
      <xdr:colOff>118835</xdr:colOff>
      <xdr:row>60</xdr:row>
      <xdr:rowOff>133350</xdr:rowOff>
    </xdr:to>
    <xdr:sp macro="" textlink="">
      <xdr:nvSpPr>
        <xdr:cNvPr id="18123" name="57"/>
        <xdr:cNvSpPr/>
      </xdr:nvSpPr>
      <xdr:spPr>
        <a:xfrm>
          <a:off x="17996263" y="9368790"/>
          <a:ext cx="600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58783</xdr:colOff>
      <xdr:row>60</xdr:row>
      <xdr:rowOff>76200</xdr:rowOff>
    </xdr:from>
    <xdr:to>
      <xdr:col>35</xdr:col>
      <xdr:colOff>58783</xdr:colOff>
      <xdr:row>60</xdr:row>
      <xdr:rowOff>76200</xdr:rowOff>
    </xdr:to>
    <xdr:cxnSp macro="">
      <xdr:nvCxnSpPr>
        <xdr:cNvPr id="18124" name="Straight Arrow Connector 18123"/>
        <xdr:cNvCxnSpPr/>
      </xdr:nvCxnSpPr>
      <xdr:spPr>
        <a:xfrm>
          <a:off x="17996263" y="942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58783</xdr:colOff>
      <xdr:row>59</xdr:row>
      <xdr:rowOff>19050</xdr:rowOff>
    </xdr:from>
    <xdr:to>
      <xdr:col>35</xdr:col>
      <xdr:colOff>118835</xdr:colOff>
      <xdr:row>59</xdr:row>
      <xdr:rowOff>133350</xdr:rowOff>
    </xdr:to>
    <xdr:sp macro="" textlink="">
      <xdr:nvSpPr>
        <xdr:cNvPr id="18125" name="56"/>
        <xdr:cNvSpPr/>
      </xdr:nvSpPr>
      <xdr:spPr>
        <a:xfrm>
          <a:off x="17996263" y="9216390"/>
          <a:ext cx="600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58783</xdr:colOff>
      <xdr:row>59</xdr:row>
      <xdr:rowOff>76200</xdr:rowOff>
    </xdr:from>
    <xdr:to>
      <xdr:col>35</xdr:col>
      <xdr:colOff>58783</xdr:colOff>
      <xdr:row>59</xdr:row>
      <xdr:rowOff>76200</xdr:rowOff>
    </xdr:to>
    <xdr:cxnSp macro="">
      <xdr:nvCxnSpPr>
        <xdr:cNvPr id="18126" name="Straight Arrow Connector 18125"/>
        <xdr:cNvCxnSpPr/>
      </xdr:nvCxnSpPr>
      <xdr:spPr>
        <a:xfrm>
          <a:off x="17996263" y="927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78378</xdr:colOff>
      <xdr:row>58</xdr:row>
      <xdr:rowOff>19050</xdr:rowOff>
    </xdr:from>
    <xdr:to>
      <xdr:col>35</xdr:col>
      <xdr:colOff>79647</xdr:colOff>
      <xdr:row>58</xdr:row>
      <xdr:rowOff>133350</xdr:rowOff>
    </xdr:to>
    <xdr:sp macro="" textlink="">
      <xdr:nvSpPr>
        <xdr:cNvPr id="18127" name="55"/>
        <xdr:cNvSpPr/>
      </xdr:nvSpPr>
      <xdr:spPr>
        <a:xfrm>
          <a:off x="17878698" y="9063990"/>
          <a:ext cx="138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78378</xdr:colOff>
      <xdr:row>58</xdr:row>
      <xdr:rowOff>76200</xdr:rowOff>
    </xdr:from>
    <xdr:to>
      <xdr:col>34</xdr:col>
      <xdr:colOff>78378</xdr:colOff>
      <xdr:row>58</xdr:row>
      <xdr:rowOff>76200</xdr:rowOff>
    </xdr:to>
    <xdr:cxnSp macro="">
      <xdr:nvCxnSpPr>
        <xdr:cNvPr id="18128" name="Straight Arrow Connector 18127"/>
        <xdr:cNvCxnSpPr/>
      </xdr:nvCxnSpPr>
      <xdr:spPr>
        <a:xfrm>
          <a:off x="17878698" y="912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78378</xdr:colOff>
      <xdr:row>57</xdr:row>
      <xdr:rowOff>19050</xdr:rowOff>
    </xdr:from>
    <xdr:to>
      <xdr:col>35</xdr:col>
      <xdr:colOff>79647</xdr:colOff>
      <xdr:row>57</xdr:row>
      <xdr:rowOff>133350</xdr:rowOff>
    </xdr:to>
    <xdr:sp macro="" textlink="">
      <xdr:nvSpPr>
        <xdr:cNvPr id="18129" name="54"/>
        <xdr:cNvSpPr/>
      </xdr:nvSpPr>
      <xdr:spPr>
        <a:xfrm>
          <a:off x="17878698" y="8911590"/>
          <a:ext cx="1384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78378</xdr:colOff>
      <xdr:row>57</xdr:row>
      <xdr:rowOff>76200</xdr:rowOff>
    </xdr:from>
    <xdr:to>
      <xdr:col>34</xdr:col>
      <xdr:colOff>78378</xdr:colOff>
      <xdr:row>57</xdr:row>
      <xdr:rowOff>76200</xdr:rowOff>
    </xdr:to>
    <xdr:cxnSp macro="">
      <xdr:nvCxnSpPr>
        <xdr:cNvPr id="18130" name="Straight Arrow Connector 18129"/>
        <xdr:cNvCxnSpPr/>
      </xdr:nvCxnSpPr>
      <xdr:spPr>
        <a:xfrm>
          <a:off x="17878698" y="896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78378</xdr:colOff>
      <xdr:row>56</xdr:row>
      <xdr:rowOff>19050</xdr:rowOff>
    </xdr:from>
    <xdr:to>
      <xdr:col>35</xdr:col>
      <xdr:colOff>118835</xdr:colOff>
      <xdr:row>56</xdr:row>
      <xdr:rowOff>133350</xdr:rowOff>
    </xdr:to>
    <xdr:sp macro="" textlink="">
      <xdr:nvSpPr>
        <xdr:cNvPr id="18133" name="53"/>
        <xdr:cNvSpPr/>
      </xdr:nvSpPr>
      <xdr:spPr>
        <a:xfrm>
          <a:off x="17878698" y="8759190"/>
          <a:ext cx="1776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78378</xdr:colOff>
      <xdr:row>56</xdr:row>
      <xdr:rowOff>76200</xdr:rowOff>
    </xdr:from>
    <xdr:to>
      <xdr:col>34</xdr:col>
      <xdr:colOff>78378</xdr:colOff>
      <xdr:row>56</xdr:row>
      <xdr:rowOff>76200</xdr:rowOff>
    </xdr:to>
    <xdr:cxnSp macro="">
      <xdr:nvCxnSpPr>
        <xdr:cNvPr id="18134" name="Straight Arrow Connector 18133"/>
        <xdr:cNvCxnSpPr/>
      </xdr:nvCxnSpPr>
      <xdr:spPr>
        <a:xfrm>
          <a:off x="17878698" y="881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55</xdr:row>
      <xdr:rowOff>19050</xdr:rowOff>
    </xdr:from>
    <xdr:to>
      <xdr:col>34</xdr:col>
      <xdr:colOff>118836</xdr:colOff>
      <xdr:row>55</xdr:row>
      <xdr:rowOff>133350</xdr:rowOff>
    </xdr:to>
    <xdr:sp macro="" textlink="">
      <xdr:nvSpPr>
        <xdr:cNvPr id="18136" name="52"/>
        <xdr:cNvSpPr/>
      </xdr:nvSpPr>
      <xdr:spPr>
        <a:xfrm>
          <a:off x="17819914" y="8606790"/>
          <a:ext cx="99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55</xdr:row>
      <xdr:rowOff>76200</xdr:rowOff>
    </xdr:from>
    <xdr:to>
      <xdr:col>34</xdr:col>
      <xdr:colOff>19594</xdr:colOff>
      <xdr:row>55</xdr:row>
      <xdr:rowOff>76200</xdr:rowOff>
    </xdr:to>
    <xdr:cxnSp macro="">
      <xdr:nvCxnSpPr>
        <xdr:cNvPr id="18137" name="Straight Arrow Connector 18136"/>
        <xdr:cNvCxnSpPr/>
      </xdr:nvCxnSpPr>
      <xdr:spPr>
        <a:xfrm>
          <a:off x="17819914" y="866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54</xdr:row>
      <xdr:rowOff>19050</xdr:rowOff>
    </xdr:from>
    <xdr:to>
      <xdr:col>34</xdr:col>
      <xdr:colOff>118836</xdr:colOff>
      <xdr:row>54</xdr:row>
      <xdr:rowOff>133350</xdr:rowOff>
    </xdr:to>
    <xdr:sp macro="" textlink="">
      <xdr:nvSpPr>
        <xdr:cNvPr id="18138" name="51"/>
        <xdr:cNvSpPr/>
      </xdr:nvSpPr>
      <xdr:spPr>
        <a:xfrm>
          <a:off x="17819914" y="8454390"/>
          <a:ext cx="9924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54</xdr:row>
      <xdr:rowOff>76200</xdr:rowOff>
    </xdr:from>
    <xdr:to>
      <xdr:col>34</xdr:col>
      <xdr:colOff>19594</xdr:colOff>
      <xdr:row>54</xdr:row>
      <xdr:rowOff>76200</xdr:rowOff>
    </xdr:to>
    <xdr:cxnSp macro="">
      <xdr:nvCxnSpPr>
        <xdr:cNvPr id="18156" name="Straight Arrow Connector 18155"/>
        <xdr:cNvCxnSpPr/>
      </xdr:nvCxnSpPr>
      <xdr:spPr>
        <a:xfrm>
          <a:off x="17819914" y="851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53</xdr:row>
      <xdr:rowOff>19050</xdr:rowOff>
    </xdr:from>
    <xdr:to>
      <xdr:col>34</xdr:col>
      <xdr:colOff>118836</xdr:colOff>
      <xdr:row>53</xdr:row>
      <xdr:rowOff>133350</xdr:rowOff>
    </xdr:to>
    <xdr:sp macro="" textlink="">
      <xdr:nvSpPr>
        <xdr:cNvPr id="18157" name="50"/>
        <xdr:cNvSpPr/>
      </xdr:nvSpPr>
      <xdr:spPr>
        <a:xfrm>
          <a:off x="17819914" y="8301990"/>
          <a:ext cx="99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53</xdr:row>
      <xdr:rowOff>76200</xdr:rowOff>
    </xdr:from>
    <xdr:to>
      <xdr:col>34</xdr:col>
      <xdr:colOff>19594</xdr:colOff>
      <xdr:row>53</xdr:row>
      <xdr:rowOff>76200</xdr:rowOff>
    </xdr:to>
    <xdr:cxnSp macro="">
      <xdr:nvCxnSpPr>
        <xdr:cNvPr id="18158" name="Straight Arrow Connector 18157"/>
        <xdr:cNvCxnSpPr/>
      </xdr:nvCxnSpPr>
      <xdr:spPr>
        <a:xfrm>
          <a:off x="17819914" y="835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52</xdr:row>
      <xdr:rowOff>19050</xdr:rowOff>
    </xdr:from>
    <xdr:to>
      <xdr:col>34</xdr:col>
      <xdr:colOff>60052</xdr:colOff>
      <xdr:row>52</xdr:row>
      <xdr:rowOff>133350</xdr:rowOff>
    </xdr:to>
    <xdr:sp macro="" textlink="">
      <xdr:nvSpPr>
        <xdr:cNvPr id="18159" name="49"/>
        <xdr:cNvSpPr/>
      </xdr:nvSpPr>
      <xdr:spPr>
        <a:xfrm>
          <a:off x="17819914" y="81495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52</xdr:row>
      <xdr:rowOff>76200</xdr:rowOff>
    </xdr:from>
    <xdr:to>
      <xdr:col>34</xdr:col>
      <xdr:colOff>19594</xdr:colOff>
      <xdr:row>52</xdr:row>
      <xdr:rowOff>76200</xdr:rowOff>
    </xdr:to>
    <xdr:cxnSp macro="">
      <xdr:nvCxnSpPr>
        <xdr:cNvPr id="18160" name="Straight Arrow Connector 18159"/>
        <xdr:cNvCxnSpPr/>
      </xdr:nvCxnSpPr>
      <xdr:spPr>
        <a:xfrm>
          <a:off x="17819914" y="820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51</xdr:row>
      <xdr:rowOff>19050</xdr:rowOff>
    </xdr:from>
    <xdr:to>
      <xdr:col>34</xdr:col>
      <xdr:colOff>60052</xdr:colOff>
      <xdr:row>51</xdr:row>
      <xdr:rowOff>133350</xdr:rowOff>
    </xdr:to>
    <xdr:sp macro="" textlink="">
      <xdr:nvSpPr>
        <xdr:cNvPr id="18161" name="48"/>
        <xdr:cNvSpPr/>
      </xdr:nvSpPr>
      <xdr:spPr>
        <a:xfrm>
          <a:off x="17819914" y="7997190"/>
          <a:ext cx="4045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51</xdr:row>
      <xdr:rowOff>76200</xdr:rowOff>
    </xdr:from>
    <xdr:to>
      <xdr:col>34</xdr:col>
      <xdr:colOff>19594</xdr:colOff>
      <xdr:row>51</xdr:row>
      <xdr:rowOff>76200</xdr:rowOff>
    </xdr:to>
    <xdr:cxnSp macro="">
      <xdr:nvCxnSpPr>
        <xdr:cNvPr id="18162" name="Straight Arrow Connector 18161"/>
        <xdr:cNvCxnSpPr/>
      </xdr:nvCxnSpPr>
      <xdr:spPr>
        <a:xfrm>
          <a:off x="17819914" y="805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50</xdr:row>
      <xdr:rowOff>19050</xdr:rowOff>
    </xdr:from>
    <xdr:to>
      <xdr:col>35</xdr:col>
      <xdr:colOff>118835</xdr:colOff>
      <xdr:row>50</xdr:row>
      <xdr:rowOff>133350</xdr:rowOff>
    </xdr:to>
    <xdr:sp macro="" textlink="">
      <xdr:nvSpPr>
        <xdr:cNvPr id="18163" name="47"/>
        <xdr:cNvSpPr/>
      </xdr:nvSpPr>
      <xdr:spPr>
        <a:xfrm>
          <a:off x="17819914" y="7844790"/>
          <a:ext cx="2364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50</xdr:row>
      <xdr:rowOff>76200</xdr:rowOff>
    </xdr:from>
    <xdr:to>
      <xdr:col>34</xdr:col>
      <xdr:colOff>19594</xdr:colOff>
      <xdr:row>50</xdr:row>
      <xdr:rowOff>76200</xdr:rowOff>
    </xdr:to>
    <xdr:cxnSp macro="">
      <xdr:nvCxnSpPr>
        <xdr:cNvPr id="18164" name="Straight Arrow Connector 18163"/>
        <xdr:cNvCxnSpPr/>
      </xdr:nvCxnSpPr>
      <xdr:spPr>
        <a:xfrm>
          <a:off x="17819914" y="790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49</xdr:row>
      <xdr:rowOff>19050</xdr:rowOff>
    </xdr:from>
    <xdr:to>
      <xdr:col>41</xdr:col>
      <xdr:colOff>118836</xdr:colOff>
      <xdr:row>49</xdr:row>
      <xdr:rowOff>133350</xdr:rowOff>
    </xdr:to>
    <xdr:sp macro="" textlink="">
      <xdr:nvSpPr>
        <xdr:cNvPr id="18165" name="46"/>
        <xdr:cNvSpPr/>
      </xdr:nvSpPr>
      <xdr:spPr>
        <a:xfrm>
          <a:off x="17819914" y="7692390"/>
          <a:ext cx="10593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49</xdr:row>
      <xdr:rowOff>76200</xdr:rowOff>
    </xdr:from>
    <xdr:to>
      <xdr:col>34</xdr:col>
      <xdr:colOff>19594</xdr:colOff>
      <xdr:row>49</xdr:row>
      <xdr:rowOff>76200</xdr:rowOff>
    </xdr:to>
    <xdr:cxnSp macro="">
      <xdr:nvCxnSpPr>
        <xdr:cNvPr id="18166" name="Straight Arrow Connector 18165"/>
        <xdr:cNvCxnSpPr/>
      </xdr:nvCxnSpPr>
      <xdr:spPr>
        <a:xfrm>
          <a:off x="17819914"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97972</xdr:colOff>
      <xdr:row>48</xdr:row>
      <xdr:rowOff>19050</xdr:rowOff>
    </xdr:from>
    <xdr:to>
      <xdr:col>34</xdr:col>
      <xdr:colOff>118836</xdr:colOff>
      <xdr:row>48</xdr:row>
      <xdr:rowOff>133350</xdr:rowOff>
    </xdr:to>
    <xdr:sp macro="" textlink="">
      <xdr:nvSpPr>
        <xdr:cNvPr id="18167" name="45"/>
        <xdr:cNvSpPr/>
      </xdr:nvSpPr>
      <xdr:spPr>
        <a:xfrm>
          <a:off x="17898292" y="75399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97972</xdr:colOff>
      <xdr:row>48</xdr:row>
      <xdr:rowOff>76200</xdr:rowOff>
    </xdr:from>
    <xdr:to>
      <xdr:col>34</xdr:col>
      <xdr:colOff>97972</xdr:colOff>
      <xdr:row>48</xdr:row>
      <xdr:rowOff>76200</xdr:rowOff>
    </xdr:to>
    <xdr:cxnSp macro="">
      <xdr:nvCxnSpPr>
        <xdr:cNvPr id="18168" name="Straight Arrow Connector 18167"/>
        <xdr:cNvCxnSpPr/>
      </xdr:nvCxnSpPr>
      <xdr:spPr>
        <a:xfrm>
          <a:off x="17898292"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97972</xdr:colOff>
      <xdr:row>47</xdr:row>
      <xdr:rowOff>19050</xdr:rowOff>
    </xdr:from>
    <xdr:to>
      <xdr:col>34</xdr:col>
      <xdr:colOff>118836</xdr:colOff>
      <xdr:row>47</xdr:row>
      <xdr:rowOff>133350</xdr:rowOff>
    </xdr:to>
    <xdr:sp macro="" textlink="">
      <xdr:nvSpPr>
        <xdr:cNvPr id="18169" name="44"/>
        <xdr:cNvSpPr/>
      </xdr:nvSpPr>
      <xdr:spPr>
        <a:xfrm>
          <a:off x="17898292" y="73875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97972</xdr:colOff>
      <xdr:row>47</xdr:row>
      <xdr:rowOff>76200</xdr:rowOff>
    </xdr:from>
    <xdr:to>
      <xdr:col>34</xdr:col>
      <xdr:colOff>97972</xdr:colOff>
      <xdr:row>47</xdr:row>
      <xdr:rowOff>76200</xdr:rowOff>
    </xdr:to>
    <xdr:cxnSp macro="">
      <xdr:nvCxnSpPr>
        <xdr:cNvPr id="18170" name="Straight Arrow Connector 18169"/>
        <xdr:cNvCxnSpPr/>
      </xdr:nvCxnSpPr>
      <xdr:spPr>
        <a:xfrm>
          <a:off x="17898292"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78378</xdr:colOff>
      <xdr:row>46</xdr:row>
      <xdr:rowOff>19050</xdr:rowOff>
    </xdr:from>
    <xdr:to>
      <xdr:col>34</xdr:col>
      <xdr:colOff>99242</xdr:colOff>
      <xdr:row>46</xdr:row>
      <xdr:rowOff>133350</xdr:rowOff>
    </xdr:to>
    <xdr:sp macro="" textlink="">
      <xdr:nvSpPr>
        <xdr:cNvPr id="18171" name="43"/>
        <xdr:cNvSpPr/>
      </xdr:nvSpPr>
      <xdr:spPr>
        <a:xfrm>
          <a:off x="17878698" y="72351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78378</xdr:colOff>
      <xdr:row>46</xdr:row>
      <xdr:rowOff>76200</xdr:rowOff>
    </xdr:from>
    <xdr:to>
      <xdr:col>34</xdr:col>
      <xdr:colOff>78378</xdr:colOff>
      <xdr:row>46</xdr:row>
      <xdr:rowOff>76200</xdr:rowOff>
    </xdr:to>
    <xdr:cxnSp macro="">
      <xdr:nvCxnSpPr>
        <xdr:cNvPr id="18172" name="Straight Arrow Connector 18171"/>
        <xdr:cNvCxnSpPr/>
      </xdr:nvCxnSpPr>
      <xdr:spPr>
        <a:xfrm>
          <a:off x="17878698"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45</xdr:row>
      <xdr:rowOff>19050</xdr:rowOff>
    </xdr:from>
    <xdr:to>
      <xdr:col>34</xdr:col>
      <xdr:colOff>99242</xdr:colOff>
      <xdr:row>45</xdr:row>
      <xdr:rowOff>133350</xdr:rowOff>
    </xdr:to>
    <xdr:sp macro="" textlink="">
      <xdr:nvSpPr>
        <xdr:cNvPr id="18173" name="42"/>
        <xdr:cNvSpPr/>
      </xdr:nvSpPr>
      <xdr:spPr>
        <a:xfrm>
          <a:off x="17819914" y="7082790"/>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45</xdr:row>
      <xdr:rowOff>76200</xdr:rowOff>
    </xdr:from>
    <xdr:to>
      <xdr:col>34</xdr:col>
      <xdr:colOff>19594</xdr:colOff>
      <xdr:row>45</xdr:row>
      <xdr:rowOff>76200</xdr:rowOff>
    </xdr:to>
    <xdr:cxnSp macro="">
      <xdr:nvCxnSpPr>
        <xdr:cNvPr id="18174" name="Straight Arrow Connector 18173"/>
        <xdr:cNvCxnSpPr/>
      </xdr:nvCxnSpPr>
      <xdr:spPr>
        <a:xfrm>
          <a:off x="17819914"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44</xdr:row>
      <xdr:rowOff>19050</xdr:rowOff>
    </xdr:from>
    <xdr:to>
      <xdr:col>34</xdr:col>
      <xdr:colOff>99242</xdr:colOff>
      <xdr:row>44</xdr:row>
      <xdr:rowOff>133350</xdr:rowOff>
    </xdr:to>
    <xdr:sp macro="" textlink="">
      <xdr:nvSpPr>
        <xdr:cNvPr id="18175" name="41"/>
        <xdr:cNvSpPr/>
      </xdr:nvSpPr>
      <xdr:spPr>
        <a:xfrm>
          <a:off x="17819914" y="6930390"/>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44</xdr:row>
      <xdr:rowOff>76200</xdr:rowOff>
    </xdr:from>
    <xdr:to>
      <xdr:col>34</xdr:col>
      <xdr:colOff>19594</xdr:colOff>
      <xdr:row>44</xdr:row>
      <xdr:rowOff>76200</xdr:rowOff>
    </xdr:to>
    <xdr:cxnSp macro="">
      <xdr:nvCxnSpPr>
        <xdr:cNvPr id="64992" name="Straight Arrow Connector 64991"/>
        <xdr:cNvCxnSpPr/>
      </xdr:nvCxnSpPr>
      <xdr:spPr>
        <a:xfrm>
          <a:off x="17819914"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43</xdr:row>
      <xdr:rowOff>19050</xdr:rowOff>
    </xdr:from>
    <xdr:to>
      <xdr:col>34</xdr:col>
      <xdr:colOff>99242</xdr:colOff>
      <xdr:row>43</xdr:row>
      <xdr:rowOff>133350</xdr:rowOff>
    </xdr:to>
    <xdr:sp macro="" textlink="">
      <xdr:nvSpPr>
        <xdr:cNvPr id="64993" name="40"/>
        <xdr:cNvSpPr/>
      </xdr:nvSpPr>
      <xdr:spPr>
        <a:xfrm>
          <a:off x="17819914" y="6777990"/>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43</xdr:row>
      <xdr:rowOff>76200</xdr:rowOff>
    </xdr:from>
    <xdr:to>
      <xdr:col>34</xdr:col>
      <xdr:colOff>19594</xdr:colOff>
      <xdr:row>43</xdr:row>
      <xdr:rowOff>76200</xdr:rowOff>
    </xdr:to>
    <xdr:cxnSp macro="">
      <xdr:nvCxnSpPr>
        <xdr:cNvPr id="64994" name="Straight Arrow Connector 64993"/>
        <xdr:cNvCxnSpPr/>
      </xdr:nvCxnSpPr>
      <xdr:spPr>
        <a:xfrm>
          <a:off x="17819914"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42</xdr:row>
      <xdr:rowOff>19050</xdr:rowOff>
    </xdr:from>
    <xdr:to>
      <xdr:col>34</xdr:col>
      <xdr:colOff>99242</xdr:colOff>
      <xdr:row>42</xdr:row>
      <xdr:rowOff>133350</xdr:rowOff>
    </xdr:to>
    <xdr:sp macro="" textlink="">
      <xdr:nvSpPr>
        <xdr:cNvPr id="64995" name="39"/>
        <xdr:cNvSpPr/>
      </xdr:nvSpPr>
      <xdr:spPr>
        <a:xfrm>
          <a:off x="17819914" y="6625590"/>
          <a:ext cx="796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42</xdr:row>
      <xdr:rowOff>76200</xdr:rowOff>
    </xdr:from>
    <xdr:to>
      <xdr:col>34</xdr:col>
      <xdr:colOff>19594</xdr:colOff>
      <xdr:row>42</xdr:row>
      <xdr:rowOff>76200</xdr:rowOff>
    </xdr:to>
    <xdr:cxnSp macro="">
      <xdr:nvCxnSpPr>
        <xdr:cNvPr id="64996" name="Straight Arrow Connector 64995"/>
        <xdr:cNvCxnSpPr/>
      </xdr:nvCxnSpPr>
      <xdr:spPr>
        <a:xfrm>
          <a:off x="17819914"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41</xdr:row>
      <xdr:rowOff>19050</xdr:rowOff>
    </xdr:from>
    <xdr:to>
      <xdr:col>34</xdr:col>
      <xdr:colOff>79648</xdr:colOff>
      <xdr:row>41</xdr:row>
      <xdr:rowOff>133350</xdr:rowOff>
    </xdr:to>
    <xdr:sp macro="" textlink="">
      <xdr:nvSpPr>
        <xdr:cNvPr id="64997" name="38"/>
        <xdr:cNvSpPr/>
      </xdr:nvSpPr>
      <xdr:spPr>
        <a:xfrm>
          <a:off x="17819914" y="6473190"/>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41</xdr:row>
      <xdr:rowOff>76200</xdr:rowOff>
    </xdr:from>
    <xdr:to>
      <xdr:col>34</xdr:col>
      <xdr:colOff>19594</xdr:colOff>
      <xdr:row>41</xdr:row>
      <xdr:rowOff>76200</xdr:rowOff>
    </xdr:to>
    <xdr:cxnSp macro="">
      <xdr:nvCxnSpPr>
        <xdr:cNvPr id="64998" name="Straight Arrow Connector 64997"/>
        <xdr:cNvCxnSpPr/>
      </xdr:nvCxnSpPr>
      <xdr:spPr>
        <a:xfrm>
          <a:off x="17819914"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40</xdr:row>
      <xdr:rowOff>19050</xdr:rowOff>
    </xdr:from>
    <xdr:to>
      <xdr:col>34</xdr:col>
      <xdr:colOff>79648</xdr:colOff>
      <xdr:row>40</xdr:row>
      <xdr:rowOff>133350</xdr:rowOff>
    </xdr:to>
    <xdr:sp macro="" textlink="">
      <xdr:nvSpPr>
        <xdr:cNvPr id="64999" name="37"/>
        <xdr:cNvSpPr/>
      </xdr:nvSpPr>
      <xdr:spPr>
        <a:xfrm>
          <a:off x="17819914" y="6320790"/>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40</xdr:row>
      <xdr:rowOff>76200</xdr:rowOff>
    </xdr:from>
    <xdr:to>
      <xdr:col>34</xdr:col>
      <xdr:colOff>19594</xdr:colOff>
      <xdr:row>40</xdr:row>
      <xdr:rowOff>76200</xdr:rowOff>
    </xdr:to>
    <xdr:cxnSp macro="">
      <xdr:nvCxnSpPr>
        <xdr:cNvPr id="65000" name="Straight Arrow Connector 64999"/>
        <xdr:cNvCxnSpPr/>
      </xdr:nvCxnSpPr>
      <xdr:spPr>
        <a:xfrm>
          <a:off x="17819914"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39</xdr:row>
      <xdr:rowOff>19050</xdr:rowOff>
    </xdr:from>
    <xdr:to>
      <xdr:col>34</xdr:col>
      <xdr:colOff>79648</xdr:colOff>
      <xdr:row>39</xdr:row>
      <xdr:rowOff>133350</xdr:rowOff>
    </xdr:to>
    <xdr:sp macro="" textlink="">
      <xdr:nvSpPr>
        <xdr:cNvPr id="65001" name="36"/>
        <xdr:cNvSpPr/>
      </xdr:nvSpPr>
      <xdr:spPr>
        <a:xfrm>
          <a:off x="17819914" y="6168390"/>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39</xdr:row>
      <xdr:rowOff>76200</xdr:rowOff>
    </xdr:from>
    <xdr:to>
      <xdr:col>34</xdr:col>
      <xdr:colOff>19594</xdr:colOff>
      <xdr:row>39</xdr:row>
      <xdr:rowOff>76200</xdr:rowOff>
    </xdr:to>
    <xdr:cxnSp macro="">
      <xdr:nvCxnSpPr>
        <xdr:cNvPr id="65002" name="Straight Arrow Connector 65001"/>
        <xdr:cNvCxnSpPr/>
      </xdr:nvCxnSpPr>
      <xdr:spPr>
        <a:xfrm>
          <a:off x="17819914"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37</xdr:row>
      <xdr:rowOff>19050</xdr:rowOff>
    </xdr:from>
    <xdr:to>
      <xdr:col>34</xdr:col>
      <xdr:colOff>79648</xdr:colOff>
      <xdr:row>37</xdr:row>
      <xdr:rowOff>133350</xdr:rowOff>
    </xdr:to>
    <xdr:sp macro="" textlink="">
      <xdr:nvSpPr>
        <xdr:cNvPr id="65003" name="34"/>
        <xdr:cNvSpPr/>
      </xdr:nvSpPr>
      <xdr:spPr>
        <a:xfrm>
          <a:off x="17819914" y="5863590"/>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37</xdr:row>
      <xdr:rowOff>76200</xdr:rowOff>
    </xdr:from>
    <xdr:to>
      <xdr:col>34</xdr:col>
      <xdr:colOff>19594</xdr:colOff>
      <xdr:row>37</xdr:row>
      <xdr:rowOff>76200</xdr:rowOff>
    </xdr:to>
    <xdr:cxnSp macro="">
      <xdr:nvCxnSpPr>
        <xdr:cNvPr id="65004" name="Straight Arrow Connector 65003"/>
        <xdr:cNvCxnSpPr/>
      </xdr:nvCxnSpPr>
      <xdr:spPr>
        <a:xfrm>
          <a:off x="17819914"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36</xdr:row>
      <xdr:rowOff>19050</xdr:rowOff>
    </xdr:from>
    <xdr:to>
      <xdr:col>34</xdr:col>
      <xdr:colOff>79648</xdr:colOff>
      <xdr:row>36</xdr:row>
      <xdr:rowOff>133350</xdr:rowOff>
    </xdr:to>
    <xdr:sp macro="" textlink="">
      <xdr:nvSpPr>
        <xdr:cNvPr id="65005" name="33"/>
        <xdr:cNvSpPr/>
      </xdr:nvSpPr>
      <xdr:spPr>
        <a:xfrm>
          <a:off x="17819914" y="5711190"/>
          <a:ext cx="60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36</xdr:row>
      <xdr:rowOff>76200</xdr:rowOff>
    </xdr:from>
    <xdr:to>
      <xdr:col>34</xdr:col>
      <xdr:colOff>19594</xdr:colOff>
      <xdr:row>36</xdr:row>
      <xdr:rowOff>76200</xdr:rowOff>
    </xdr:to>
    <xdr:cxnSp macro="">
      <xdr:nvCxnSpPr>
        <xdr:cNvPr id="65006" name="Straight Arrow Connector 65005"/>
        <xdr:cNvCxnSpPr/>
      </xdr:nvCxnSpPr>
      <xdr:spPr>
        <a:xfrm>
          <a:off x="17819914"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35</xdr:row>
      <xdr:rowOff>19050</xdr:rowOff>
    </xdr:from>
    <xdr:to>
      <xdr:col>34</xdr:col>
      <xdr:colOff>79648</xdr:colOff>
      <xdr:row>35</xdr:row>
      <xdr:rowOff>133350</xdr:rowOff>
    </xdr:to>
    <xdr:sp macro="" textlink="">
      <xdr:nvSpPr>
        <xdr:cNvPr id="65007" name="32"/>
        <xdr:cNvSpPr/>
      </xdr:nvSpPr>
      <xdr:spPr>
        <a:xfrm>
          <a:off x="17819914" y="5558790"/>
          <a:ext cx="60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35</xdr:row>
      <xdr:rowOff>76200</xdr:rowOff>
    </xdr:from>
    <xdr:to>
      <xdr:col>34</xdr:col>
      <xdr:colOff>19594</xdr:colOff>
      <xdr:row>35</xdr:row>
      <xdr:rowOff>76200</xdr:rowOff>
    </xdr:to>
    <xdr:cxnSp macro="">
      <xdr:nvCxnSpPr>
        <xdr:cNvPr id="65008" name="Straight Arrow Connector 65007"/>
        <xdr:cNvCxnSpPr/>
      </xdr:nvCxnSpPr>
      <xdr:spPr>
        <a:xfrm>
          <a:off x="17819914"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34</xdr:row>
      <xdr:rowOff>19050</xdr:rowOff>
    </xdr:from>
    <xdr:to>
      <xdr:col>34</xdr:col>
      <xdr:colOff>118836</xdr:colOff>
      <xdr:row>34</xdr:row>
      <xdr:rowOff>133350</xdr:rowOff>
    </xdr:to>
    <xdr:sp macro="" textlink="">
      <xdr:nvSpPr>
        <xdr:cNvPr id="65009" name="31"/>
        <xdr:cNvSpPr/>
      </xdr:nvSpPr>
      <xdr:spPr>
        <a:xfrm>
          <a:off x="17819914" y="5406390"/>
          <a:ext cx="992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34</xdr:row>
      <xdr:rowOff>76200</xdr:rowOff>
    </xdr:from>
    <xdr:to>
      <xdr:col>34</xdr:col>
      <xdr:colOff>19594</xdr:colOff>
      <xdr:row>34</xdr:row>
      <xdr:rowOff>76200</xdr:rowOff>
    </xdr:to>
    <xdr:cxnSp macro="">
      <xdr:nvCxnSpPr>
        <xdr:cNvPr id="65010" name="Straight Arrow Connector 65009"/>
        <xdr:cNvCxnSpPr/>
      </xdr:nvCxnSpPr>
      <xdr:spPr>
        <a:xfrm>
          <a:off x="17819914"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97971</xdr:colOff>
      <xdr:row>33</xdr:row>
      <xdr:rowOff>19050</xdr:rowOff>
    </xdr:from>
    <xdr:to>
      <xdr:col>32</xdr:col>
      <xdr:colOff>118836</xdr:colOff>
      <xdr:row>33</xdr:row>
      <xdr:rowOff>133350</xdr:rowOff>
    </xdr:to>
    <xdr:sp macro="" textlink="">
      <xdr:nvSpPr>
        <xdr:cNvPr id="65011" name="30"/>
        <xdr:cNvSpPr/>
      </xdr:nvSpPr>
      <xdr:spPr>
        <a:xfrm>
          <a:off x="17623971" y="52539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97971</xdr:colOff>
      <xdr:row>33</xdr:row>
      <xdr:rowOff>76200</xdr:rowOff>
    </xdr:from>
    <xdr:to>
      <xdr:col>32</xdr:col>
      <xdr:colOff>97971</xdr:colOff>
      <xdr:row>33</xdr:row>
      <xdr:rowOff>76200</xdr:rowOff>
    </xdr:to>
    <xdr:cxnSp macro="">
      <xdr:nvCxnSpPr>
        <xdr:cNvPr id="65012" name="Straight Arrow Connector 65011"/>
        <xdr:cNvCxnSpPr/>
      </xdr:nvCxnSpPr>
      <xdr:spPr>
        <a:xfrm>
          <a:off x="17623971"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97971</xdr:colOff>
      <xdr:row>32</xdr:row>
      <xdr:rowOff>19050</xdr:rowOff>
    </xdr:from>
    <xdr:to>
      <xdr:col>32</xdr:col>
      <xdr:colOff>118836</xdr:colOff>
      <xdr:row>32</xdr:row>
      <xdr:rowOff>133350</xdr:rowOff>
    </xdr:to>
    <xdr:sp macro="" textlink="">
      <xdr:nvSpPr>
        <xdr:cNvPr id="65013" name="29"/>
        <xdr:cNvSpPr/>
      </xdr:nvSpPr>
      <xdr:spPr>
        <a:xfrm>
          <a:off x="17623971" y="51015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97971</xdr:colOff>
      <xdr:row>32</xdr:row>
      <xdr:rowOff>76200</xdr:rowOff>
    </xdr:from>
    <xdr:to>
      <xdr:col>32</xdr:col>
      <xdr:colOff>97971</xdr:colOff>
      <xdr:row>32</xdr:row>
      <xdr:rowOff>76200</xdr:rowOff>
    </xdr:to>
    <xdr:cxnSp macro="">
      <xdr:nvCxnSpPr>
        <xdr:cNvPr id="65014" name="Straight Arrow Connector 65013"/>
        <xdr:cNvCxnSpPr/>
      </xdr:nvCxnSpPr>
      <xdr:spPr>
        <a:xfrm>
          <a:off x="17623971"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97971</xdr:colOff>
      <xdr:row>31</xdr:row>
      <xdr:rowOff>19050</xdr:rowOff>
    </xdr:from>
    <xdr:to>
      <xdr:col>32</xdr:col>
      <xdr:colOff>118836</xdr:colOff>
      <xdr:row>31</xdr:row>
      <xdr:rowOff>133350</xdr:rowOff>
    </xdr:to>
    <xdr:sp macro="" textlink="">
      <xdr:nvSpPr>
        <xdr:cNvPr id="65015" name="28"/>
        <xdr:cNvSpPr/>
      </xdr:nvSpPr>
      <xdr:spPr>
        <a:xfrm>
          <a:off x="17623971" y="4949190"/>
          <a:ext cx="208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97971</xdr:colOff>
      <xdr:row>31</xdr:row>
      <xdr:rowOff>76200</xdr:rowOff>
    </xdr:from>
    <xdr:to>
      <xdr:col>32</xdr:col>
      <xdr:colOff>97971</xdr:colOff>
      <xdr:row>31</xdr:row>
      <xdr:rowOff>76200</xdr:rowOff>
    </xdr:to>
    <xdr:cxnSp macro="">
      <xdr:nvCxnSpPr>
        <xdr:cNvPr id="65016" name="Straight Arrow Connector 65015"/>
        <xdr:cNvCxnSpPr/>
      </xdr:nvCxnSpPr>
      <xdr:spPr>
        <a:xfrm>
          <a:off x="17623971"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97971</xdr:colOff>
      <xdr:row>30</xdr:row>
      <xdr:rowOff>19050</xdr:rowOff>
    </xdr:from>
    <xdr:to>
      <xdr:col>33</xdr:col>
      <xdr:colOff>99241</xdr:colOff>
      <xdr:row>30</xdr:row>
      <xdr:rowOff>133350</xdr:rowOff>
    </xdr:to>
    <xdr:sp macro="" textlink="">
      <xdr:nvSpPr>
        <xdr:cNvPr id="65017" name="27"/>
        <xdr:cNvSpPr/>
      </xdr:nvSpPr>
      <xdr:spPr>
        <a:xfrm>
          <a:off x="17623971" y="4796790"/>
          <a:ext cx="138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97971</xdr:colOff>
      <xdr:row>30</xdr:row>
      <xdr:rowOff>76200</xdr:rowOff>
    </xdr:from>
    <xdr:to>
      <xdr:col>32</xdr:col>
      <xdr:colOff>97971</xdr:colOff>
      <xdr:row>30</xdr:row>
      <xdr:rowOff>76200</xdr:rowOff>
    </xdr:to>
    <xdr:cxnSp macro="">
      <xdr:nvCxnSpPr>
        <xdr:cNvPr id="65018" name="Straight Arrow Connector 65017"/>
        <xdr:cNvCxnSpPr/>
      </xdr:nvCxnSpPr>
      <xdr:spPr>
        <a:xfrm>
          <a:off x="17623971" y="485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29</xdr:row>
      <xdr:rowOff>19050</xdr:rowOff>
    </xdr:from>
    <xdr:to>
      <xdr:col>32</xdr:col>
      <xdr:colOff>118836</xdr:colOff>
      <xdr:row>29</xdr:row>
      <xdr:rowOff>133350</xdr:rowOff>
    </xdr:to>
    <xdr:sp macro="" textlink="">
      <xdr:nvSpPr>
        <xdr:cNvPr id="65019" name="26"/>
        <xdr:cNvSpPr/>
      </xdr:nvSpPr>
      <xdr:spPr>
        <a:xfrm>
          <a:off x="17565188" y="4644390"/>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29</xdr:row>
      <xdr:rowOff>76200</xdr:rowOff>
    </xdr:from>
    <xdr:to>
      <xdr:col>32</xdr:col>
      <xdr:colOff>39188</xdr:colOff>
      <xdr:row>29</xdr:row>
      <xdr:rowOff>76200</xdr:rowOff>
    </xdr:to>
    <xdr:cxnSp macro="">
      <xdr:nvCxnSpPr>
        <xdr:cNvPr id="65032" name="Straight Arrow Connector 65031"/>
        <xdr:cNvCxnSpPr/>
      </xdr:nvCxnSpPr>
      <xdr:spPr>
        <a:xfrm>
          <a:off x="17565188"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28</xdr:row>
      <xdr:rowOff>19050</xdr:rowOff>
    </xdr:from>
    <xdr:to>
      <xdr:col>33</xdr:col>
      <xdr:colOff>99241</xdr:colOff>
      <xdr:row>28</xdr:row>
      <xdr:rowOff>133350</xdr:rowOff>
    </xdr:to>
    <xdr:sp macro="" textlink="">
      <xdr:nvSpPr>
        <xdr:cNvPr id="65033" name="25"/>
        <xdr:cNvSpPr/>
      </xdr:nvSpPr>
      <xdr:spPr>
        <a:xfrm>
          <a:off x="17565188" y="4491990"/>
          <a:ext cx="1972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28</xdr:row>
      <xdr:rowOff>76200</xdr:rowOff>
    </xdr:from>
    <xdr:to>
      <xdr:col>32</xdr:col>
      <xdr:colOff>39188</xdr:colOff>
      <xdr:row>28</xdr:row>
      <xdr:rowOff>76200</xdr:rowOff>
    </xdr:to>
    <xdr:cxnSp macro="">
      <xdr:nvCxnSpPr>
        <xdr:cNvPr id="65034" name="Straight Arrow Connector 65033"/>
        <xdr:cNvCxnSpPr/>
      </xdr:nvCxnSpPr>
      <xdr:spPr>
        <a:xfrm>
          <a:off x="17565188"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27</xdr:row>
      <xdr:rowOff>19050</xdr:rowOff>
    </xdr:from>
    <xdr:to>
      <xdr:col>34</xdr:col>
      <xdr:colOff>118836</xdr:colOff>
      <xdr:row>27</xdr:row>
      <xdr:rowOff>133350</xdr:rowOff>
    </xdr:to>
    <xdr:sp macro="" textlink="">
      <xdr:nvSpPr>
        <xdr:cNvPr id="65035" name="24"/>
        <xdr:cNvSpPr/>
      </xdr:nvSpPr>
      <xdr:spPr>
        <a:xfrm>
          <a:off x="17565188" y="4339590"/>
          <a:ext cx="35396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27</xdr:row>
      <xdr:rowOff>76200</xdr:rowOff>
    </xdr:from>
    <xdr:to>
      <xdr:col>32</xdr:col>
      <xdr:colOff>39188</xdr:colOff>
      <xdr:row>27</xdr:row>
      <xdr:rowOff>76200</xdr:rowOff>
    </xdr:to>
    <xdr:cxnSp macro="">
      <xdr:nvCxnSpPr>
        <xdr:cNvPr id="65036" name="Straight Arrow Connector 65035"/>
        <xdr:cNvCxnSpPr/>
      </xdr:nvCxnSpPr>
      <xdr:spPr>
        <a:xfrm>
          <a:off x="17565188"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26</xdr:row>
      <xdr:rowOff>19050</xdr:rowOff>
    </xdr:from>
    <xdr:to>
      <xdr:col>33</xdr:col>
      <xdr:colOff>118835</xdr:colOff>
      <xdr:row>26</xdr:row>
      <xdr:rowOff>133350</xdr:rowOff>
    </xdr:to>
    <xdr:sp macro="" textlink="">
      <xdr:nvSpPr>
        <xdr:cNvPr id="65037" name="23"/>
        <xdr:cNvSpPr/>
      </xdr:nvSpPr>
      <xdr:spPr>
        <a:xfrm>
          <a:off x="17565188" y="4187190"/>
          <a:ext cx="21680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26</xdr:row>
      <xdr:rowOff>76200</xdr:rowOff>
    </xdr:from>
    <xdr:to>
      <xdr:col>32</xdr:col>
      <xdr:colOff>39188</xdr:colOff>
      <xdr:row>26</xdr:row>
      <xdr:rowOff>76200</xdr:rowOff>
    </xdr:to>
    <xdr:cxnSp macro="">
      <xdr:nvCxnSpPr>
        <xdr:cNvPr id="65038" name="Straight Arrow Connector 65037"/>
        <xdr:cNvCxnSpPr/>
      </xdr:nvCxnSpPr>
      <xdr:spPr>
        <a:xfrm>
          <a:off x="17565188"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58783</xdr:colOff>
      <xdr:row>25</xdr:row>
      <xdr:rowOff>19050</xdr:rowOff>
    </xdr:from>
    <xdr:to>
      <xdr:col>31</xdr:col>
      <xdr:colOff>118836</xdr:colOff>
      <xdr:row>25</xdr:row>
      <xdr:rowOff>133350</xdr:rowOff>
    </xdr:to>
    <xdr:sp macro="" textlink="">
      <xdr:nvSpPr>
        <xdr:cNvPr id="65039" name="22"/>
        <xdr:cNvSpPr/>
      </xdr:nvSpPr>
      <xdr:spPr>
        <a:xfrm>
          <a:off x="17447623" y="4034790"/>
          <a:ext cx="60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58783</xdr:colOff>
      <xdr:row>25</xdr:row>
      <xdr:rowOff>76200</xdr:rowOff>
    </xdr:from>
    <xdr:to>
      <xdr:col>31</xdr:col>
      <xdr:colOff>58783</xdr:colOff>
      <xdr:row>25</xdr:row>
      <xdr:rowOff>76200</xdr:rowOff>
    </xdr:to>
    <xdr:cxnSp macro="">
      <xdr:nvCxnSpPr>
        <xdr:cNvPr id="65040" name="Straight Arrow Connector 65039"/>
        <xdr:cNvCxnSpPr/>
      </xdr:nvCxnSpPr>
      <xdr:spPr>
        <a:xfrm>
          <a:off x="17447623"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39189</xdr:colOff>
      <xdr:row>24</xdr:row>
      <xdr:rowOff>19050</xdr:rowOff>
    </xdr:from>
    <xdr:to>
      <xdr:col>31</xdr:col>
      <xdr:colOff>60053</xdr:colOff>
      <xdr:row>24</xdr:row>
      <xdr:rowOff>133350</xdr:rowOff>
    </xdr:to>
    <xdr:sp macro="" textlink="">
      <xdr:nvSpPr>
        <xdr:cNvPr id="65041" name="21"/>
        <xdr:cNvSpPr/>
      </xdr:nvSpPr>
      <xdr:spPr>
        <a:xfrm>
          <a:off x="17428029" y="38823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39189</xdr:colOff>
      <xdr:row>24</xdr:row>
      <xdr:rowOff>76200</xdr:rowOff>
    </xdr:from>
    <xdr:to>
      <xdr:col>31</xdr:col>
      <xdr:colOff>39189</xdr:colOff>
      <xdr:row>24</xdr:row>
      <xdr:rowOff>76200</xdr:rowOff>
    </xdr:to>
    <xdr:cxnSp macro="">
      <xdr:nvCxnSpPr>
        <xdr:cNvPr id="65042" name="Straight Arrow Connector 65041"/>
        <xdr:cNvCxnSpPr/>
      </xdr:nvCxnSpPr>
      <xdr:spPr>
        <a:xfrm>
          <a:off x="17428029"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39189</xdr:colOff>
      <xdr:row>23</xdr:row>
      <xdr:rowOff>19050</xdr:rowOff>
    </xdr:from>
    <xdr:to>
      <xdr:col>33</xdr:col>
      <xdr:colOff>118835</xdr:colOff>
      <xdr:row>23</xdr:row>
      <xdr:rowOff>133350</xdr:rowOff>
    </xdr:to>
    <xdr:sp macro="" textlink="">
      <xdr:nvSpPr>
        <xdr:cNvPr id="65043" name="20"/>
        <xdr:cNvSpPr/>
      </xdr:nvSpPr>
      <xdr:spPr>
        <a:xfrm>
          <a:off x="17428029" y="3729990"/>
          <a:ext cx="353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39189</xdr:colOff>
      <xdr:row>23</xdr:row>
      <xdr:rowOff>76200</xdr:rowOff>
    </xdr:from>
    <xdr:to>
      <xdr:col>31</xdr:col>
      <xdr:colOff>39189</xdr:colOff>
      <xdr:row>23</xdr:row>
      <xdr:rowOff>76200</xdr:rowOff>
    </xdr:to>
    <xdr:cxnSp macro="">
      <xdr:nvCxnSpPr>
        <xdr:cNvPr id="65044" name="Straight Arrow Connector 65043"/>
        <xdr:cNvCxnSpPr/>
      </xdr:nvCxnSpPr>
      <xdr:spPr>
        <a:xfrm>
          <a:off x="17428029" y="378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58783</xdr:colOff>
      <xdr:row>22</xdr:row>
      <xdr:rowOff>19050</xdr:rowOff>
    </xdr:from>
    <xdr:to>
      <xdr:col>31</xdr:col>
      <xdr:colOff>79647</xdr:colOff>
      <xdr:row>22</xdr:row>
      <xdr:rowOff>133350</xdr:rowOff>
    </xdr:to>
    <xdr:sp macro="" textlink="">
      <xdr:nvSpPr>
        <xdr:cNvPr id="65045" name="19"/>
        <xdr:cNvSpPr/>
      </xdr:nvSpPr>
      <xdr:spPr>
        <a:xfrm>
          <a:off x="17447623" y="35775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58783</xdr:colOff>
      <xdr:row>22</xdr:row>
      <xdr:rowOff>76200</xdr:rowOff>
    </xdr:from>
    <xdr:to>
      <xdr:col>31</xdr:col>
      <xdr:colOff>58783</xdr:colOff>
      <xdr:row>22</xdr:row>
      <xdr:rowOff>76200</xdr:rowOff>
    </xdr:to>
    <xdr:cxnSp macro="">
      <xdr:nvCxnSpPr>
        <xdr:cNvPr id="65046" name="Straight Arrow Connector 65045"/>
        <xdr:cNvCxnSpPr/>
      </xdr:nvCxnSpPr>
      <xdr:spPr>
        <a:xfrm>
          <a:off x="17447623" y="363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39189</xdr:colOff>
      <xdr:row>21</xdr:row>
      <xdr:rowOff>19050</xdr:rowOff>
    </xdr:from>
    <xdr:to>
      <xdr:col>31</xdr:col>
      <xdr:colOff>60053</xdr:colOff>
      <xdr:row>21</xdr:row>
      <xdr:rowOff>133350</xdr:rowOff>
    </xdr:to>
    <xdr:sp macro="" textlink="">
      <xdr:nvSpPr>
        <xdr:cNvPr id="65047" name="18"/>
        <xdr:cNvSpPr/>
      </xdr:nvSpPr>
      <xdr:spPr>
        <a:xfrm>
          <a:off x="17428029" y="34251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39189</xdr:colOff>
      <xdr:row>21</xdr:row>
      <xdr:rowOff>76200</xdr:rowOff>
    </xdr:from>
    <xdr:to>
      <xdr:col>31</xdr:col>
      <xdr:colOff>39189</xdr:colOff>
      <xdr:row>21</xdr:row>
      <xdr:rowOff>76200</xdr:rowOff>
    </xdr:to>
    <xdr:cxnSp macro="">
      <xdr:nvCxnSpPr>
        <xdr:cNvPr id="65048" name="Straight Arrow Connector 65047"/>
        <xdr:cNvCxnSpPr/>
      </xdr:nvCxnSpPr>
      <xdr:spPr>
        <a:xfrm>
          <a:off x="17428029" y="348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39189</xdr:colOff>
      <xdr:row>20</xdr:row>
      <xdr:rowOff>19050</xdr:rowOff>
    </xdr:from>
    <xdr:to>
      <xdr:col>31</xdr:col>
      <xdr:colOff>79647</xdr:colOff>
      <xdr:row>20</xdr:row>
      <xdr:rowOff>133350</xdr:rowOff>
    </xdr:to>
    <xdr:sp macro="" textlink="">
      <xdr:nvSpPr>
        <xdr:cNvPr id="65049" name="17"/>
        <xdr:cNvSpPr/>
      </xdr:nvSpPr>
      <xdr:spPr>
        <a:xfrm>
          <a:off x="17428029" y="3272790"/>
          <a:ext cx="404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39189</xdr:colOff>
      <xdr:row>20</xdr:row>
      <xdr:rowOff>76200</xdr:rowOff>
    </xdr:from>
    <xdr:to>
      <xdr:col>31</xdr:col>
      <xdr:colOff>39189</xdr:colOff>
      <xdr:row>20</xdr:row>
      <xdr:rowOff>76200</xdr:rowOff>
    </xdr:to>
    <xdr:cxnSp macro="">
      <xdr:nvCxnSpPr>
        <xdr:cNvPr id="65050" name="Straight Arrow Connector 65049"/>
        <xdr:cNvCxnSpPr/>
      </xdr:nvCxnSpPr>
      <xdr:spPr>
        <a:xfrm>
          <a:off x="17428029" y="332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39189</xdr:colOff>
      <xdr:row>19</xdr:row>
      <xdr:rowOff>19050</xdr:rowOff>
    </xdr:from>
    <xdr:to>
      <xdr:col>33</xdr:col>
      <xdr:colOff>118835</xdr:colOff>
      <xdr:row>19</xdr:row>
      <xdr:rowOff>133350</xdr:rowOff>
    </xdr:to>
    <xdr:sp macro="" textlink="">
      <xdr:nvSpPr>
        <xdr:cNvPr id="65051" name="16"/>
        <xdr:cNvSpPr/>
      </xdr:nvSpPr>
      <xdr:spPr>
        <a:xfrm>
          <a:off x="17428029" y="3120390"/>
          <a:ext cx="353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39189</xdr:colOff>
      <xdr:row>19</xdr:row>
      <xdr:rowOff>76200</xdr:rowOff>
    </xdr:from>
    <xdr:to>
      <xdr:col>31</xdr:col>
      <xdr:colOff>39189</xdr:colOff>
      <xdr:row>19</xdr:row>
      <xdr:rowOff>76200</xdr:rowOff>
    </xdr:to>
    <xdr:cxnSp macro="">
      <xdr:nvCxnSpPr>
        <xdr:cNvPr id="65052" name="Straight Arrow Connector 65051"/>
        <xdr:cNvCxnSpPr/>
      </xdr:nvCxnSpPr>
      <xdr:spPr>
        <a:xfrm>
          <a:off x="17428029" y="317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18</xdr:row>
      <xdr:rowOff>19050</xdr:rowOff>
    </xdr:from>
    <xdr:to>
      <xdr:col>34</xdr:col>
      <xdr:colOff>40458</xdr:colOff>
      <xdr:row>18</xdr:row>
      <xdr:rowOff>133350</xdr:rowOff>
    </xdr:to>
    <xdr:sp macro="" textlink="">
      <xdr:nvSpPr>
        <xdr:cNvPr id="65053" name="15"/>
        <xdr:cNvSpPr/>
      </xdr:nvSpPr>
      <xdr:spPr>
        <a:xfrm>
          <a:off x="17819914" y="29679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18</xdr:row>
      <xdr:rowOff>76200</xdr:rowOff>
    </xdr:from>
    <xdr:to>
      <xdr:col>34</xdr:col>
      <xdr:colOff>19594</xdr:colOff>
      <xdr:row>18</xdr:row>
      <xdr:rowOff>76200</xdr:rowOff>
    </xdr:to>
    <xdr:cxnSp macro="">
      <xdr:nvCxnSpPr>
        <xdr:cNvPr id="65054" name="Straight Arrow Connector 65053"/>
        <xdr:cNvCxnSpPr/>
      </xdr:nvCxnSpPr>
      <xdr:spPr>
        <a:xfrm>
          <a:off x="17819914" y="302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17</xdr:row>
      <xdr:rowOff>19050</xdr:rowOff>
    </xdr:from>
    <xdr:to>
      <xdr:col>34</xdr:col>
      <xdr:colOff>40458</xdr:colOff>
      <xdr:row>17</xdr:row>
      <xdr:rowOff>133350</xdr:rowOff>
    </xdr:to>
    <xdr:sp macro="" textlink="">
      <xdr:nvSpPr>
        <xdr:cNvPr id="65055" name="14"/>
        <xdr:cNvSpPr/>
      </xdr:nvSpPr>
      <xdr:spPr>
        <a:xfrm>
          <a:off x="17819914" y="2815590"/>
          <a:ext cx="208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17</xdr:row>
      <xdr:rowOff>76200</xdr:rowOff>
    </xdr:from>
    <xdr:to>
      <xdr:col>34</xdr:col>
      <xdr:colOff>19594</xdr:colOff>
      <xdr:row>17</xdr:row>
      <xdr:rowOff>76200</xdr:rowOff>
    </xdr:to>
    <xdr:cxnSp macro="">
      <xdr:nvCxnSpPr>
        <xdr:cNvPr id="416" name="Straight Arrow Connector 415"/>
        <xdr:cNvCxnSpPr/>
      </xdr:nvCxnSpPr>
      <xdr:spPr>
        <a:xfrm>
          <a:off x="17819914" y="287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19594</xdr:colOff>
      <xdr:row>16</xdr:row>
      <xdr:rowOff>19050</xdr:rowOff>
    </xdr:from>
    <xdr:to>
      <xdr:col>34</xdr:col>
      <xdr:colOff>40458</xdr:colOff>
      <xdr:row>16</xdr:row>
      <xdr:rowOff>133350</xdr:rowOff>
    </xdr:to>
    <xdr:sp macro="" textlink="">
      <xdr:nvSpPr>
        <xdr:cNvPr id="417" name="13"/>
        <xdr:cNvSpPr/>
      </xdr:nvSpPr>
      <xdr:spPr>
        <a:xfrm>
          <a:off x="17819914" y="2663190"/>
          <a:ext cx="208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34</xdr:col>
      <xdr:colOff>19594</xdr:colOff>
      <xdr:row>16</xdr:row>
      <xdr:rowOff>76200</xdr:rowOff>
    </xdr:from>
    <xdr:to>
      <xdr:col>34</xdr:col>
      <xdr:colOff>19594</xdr:colOff>
      <xdr:row>16</xdr:row>
      <xdr:rowOff>76200</xdr:rowOff>
    </xdr:to>
    <xdr:cxnSp macro="">
      <xdr:nvCxnSpPr>
        <xdr:cNvPr id="418" name="Straight Arrow Connector 417"/>
        <xdr:cNvCxnSpPr/>
      </xdr:nvCxnSpPr>
      <xdr:spPr>
        <a:xfrm>
          <a:off x="17819914" y="272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15</xdr:row>
      <xdr:rowOff>19050</xdr:rowOff>
    </xdr:from>
    <xdr:to>
      <xdr:col>33</xdr:col>
      <xdr:colOff>60053</xdr:colOff>
      <xdr:row>15</xdr:row>
      <xdr:rowOff>133350</xdr:rowOff>
    </xdr:to>
    <xdr:sp macro="" textlink="">
      <xdr:nvSpPr>
        <xdr:cNvPr id="419" name="12"/>
        <xdr:cNvSpPr/>
      </xdr:nvSpPr>
      <xdr:spPr>
        <a:xfrm>
          <a:off x="17565188" y="2510790"/>
          <a:ext cx="158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15</xdr:row>
      <xdr:rowOff>76200</xdr:rowOff>
    </xdr:from>
    <xdr:to>
      <xdr:col>33</xdr:col>
      <xdr:colOff>58783</xdr:colOff>
      <xdr:row>15</xdr:row>
      <xdr:rowOff>76200</xdr:rowOff>
    </xdr:to>
    <xdr:cxnSp macro="">
      <xdr:nvCxnSpPr>
        <xdr:cNvPr id="420" name="Straight Arrow Connector 419"/>
        <xdr:cNvCxnSpPr/>
      </xdr:nvCxnSpPr>
      <xdr:spPr>
        <a:xfrm>
          <a:off x="17565188" y="2567940"/>
          <a:ext cx="156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14</xdr:row>
      <xdr:rowOff>19050</xdr:rowOff>
    </xdr:from>
    <xdr:to>
      <xdr:col>33</xdr:col>
      <xdr:colOff>60053</xdr:colOff>
      <xdr:row>14</xdr:row>
      <xdr:rowOff>133350</xdr:rowOff>
    </xdr:to>
    <xdr:sp macro="" textlink="">
      <xdr:nvSpPr>
        <xdr:cNvPr id="421" name="11"/>
        <xdr:cNvSpPr/>
      </xdr:nvSpPr>
      <xdr:spPr>
        <a:xfrm>
          <a:off x="17565188" y="2358390"/>
          <a:ext cx="158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14</xdr:row>
      <xdr:rowOff>76200</xdr:rowOff>
    </xdr:from>
    <xdr:to>
      <xdr:col>33</xdr:col>
      <xdr:colOff>58783</xdr:colOff>
      <xdr:row>14</xdr:row>
      <xdr:rowOff>76200</xdr:rowOff>
    </xdr:to>
    <xdr:cxnSp macro="">
      <xdr:nvCxnSpPr>
        <xdr:cNvPr id="422" name="Straight Arrow Connector 421"/>
        <xdr:cNvCxnSpPr/>
      </xdr:nvCxnSpPr>
      <xdr:spPr>
        <a:xfrm>
          <a:off x="17565188" y="2415540"/>
          <a:ext cx="156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13</xdr:row>
      <xdr:rowOff>19050</xdr:rowOff>
    </xdr:from>
    <xdr:to>
      <xdr:col>31</xdr:col>
      <xdr:colOff>60053</xdr:colOff>
      <xdr:row>13</xdr:row>
      <xdr:rowOff>133350</xdr:rowOff>
    </xdr:to>
    <xdr:sp macro="" textlink="">
      <xdr:nvSpPr>
        <xdr:cNvPr id="423" name="10"/>
        <xdr:cNvSpPr/>
      </xdr:nvSpPr>
      <xdr:spPr>
        <a:xfrm>
          <a:off x="17408434" y="2205990"/>
          <a:ext cx="404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13</xdr:row>
      <xdr:rowOff>76200</xdr:rowOff>
    </xdr:from>
    <xdr:to>
      <xdr:col>31</xdr:col>
      <xdr:colOff>58783</xdr:colOff>
      <xdr:row>13</xdr:row>
      <xdr:rowOff>76200</xdr:rowOff>
    </xdr:to>
    <xdr:cxnSp macro="">
      <xdr:nvCxnSpPr>
        <xdr:cNvPr id="424" name="Straight Arrow Connector 423"/>
        <xdr:cNvCxnSpPr/>
      </xdr:nvCxnSpPr>
      <xdr:spPr>
        <a:xfrm>
          <a:off x="17408434" y="2263140"/>
          <a:ext cx="391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12</xdr:row>
      <xdr:rowOff>19050</xdr:rowOff>
    </xdr:from>
    <xdr:to>
      <xdr:col>31</xdr:col>
      <xdr:colOff>60053</xdr:colOff>
      <xdr:row>12</xdr:row>
      <xdr:rowOff>133350</xdr:rowOff>
    </xdr:to>
    <xdr:sp macro="" textlink="">
      <xdr:nvSpPr>
        <xdr:cNvPr id="425" name="9"/>
        <xdr:cNvSpPr/>
      </xdr:nvSpPr>
      <xdr:spPr>
        <a:xfrm>
          <a:off x="17408434" y="2053590"/>
          <a:ext cx="404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12</xdr:row>
      <xdr:rowOff>76200</xdr:rowOff>
    </xdr:from>
    <xdr:to>
      <xdr:col>31</xdr:col>
      <xdr:colOff>58783</xdr:colOff>
      <xdr:row>12</xdr:row>
      <xdr:rowOff>76200</xdr:rowOff>
    </xdr:to>
    <xdr:cxnSp macro="">
      <xdr:nvCxnSpPr>
        <xdr:cNvPr id="426" name="Straight Arrow Connector 425"/>
        <xdr:cNvCxnSpPr/>
      </xdr:nvCxnSpPr>
      <xdr:spPr>
        <a:xfrm>
          <a:off x="17408434" y="2110740"/>
          <a:ext cx="391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39188</xdr:colOff>
      <xdr:row>11</xdr:row>
      <xdr:rowOff>19050</xdr:rowOff>
    </xdr:from>
    <xdr:to>
      <xdr:col>32</xdr:col>
      <xdr:colOff>118836</xdr:colOff>
      <xdr:row>11</xdr:row>
      <xdr:rowOff>133350</xdr:rowOff>
    </xdr:to>
    <xdr:sp macro="" textlink="">
      <xdr:nvSpPr>
        <xdr:cNvPr id="438" name="8"/>
        <xdr:cNvSpPr/>
      </xdr:nvSpPr>
      <xdr:spPr>
        <a:xfrm>
          <a:off x="17565188" y="1901190"/>
          <a:ext cx="796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32</xdr:col>
      <xdr:colOff>39188</xdr:colOff>
      <xdr:row>11</xdr:row>
      <xdr:rowOff>76200</xdr:rowOff>
    </xdr:from>
    <xdr:to>
      <xdr:col>32</xdr:col>
      <xdr:colOff>117566</xdr:colOff>
      <xdr:row>11</xdr:row>
      <xdr:rowOff>76200</xdr:rowOff>
    </xdr:to>
    <xdr:cxnSp macro="">
      <xdr:nvCxnSpPr>
        <xdr:cNvPr id="439" name="Straight Arrow Connector 438"/>
        <xdr:cNvCxnSpPr/>
      </xdr:nvCxnSpPr>
      <xdr:spPr>
        <a:xfrm>
          <a:off x="17565188" y="1958340"/>
          <a:ext cx="783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39189</xdr:colOff>
      <xdr:row>10</xdr:row>
      <xdr:rowOff>19050</xdr:rowOff>
    </xdr:from>
    <xdr:to>
      <xdr:col>32</xdr:col>
      <xdr:colOff>99240</xdr:colOff>
      <xdr:row>10</xdr:row>
      <xdr:rowOff>133350</xdr:rowOff>
    </xdr:to>
    <xdr:sp macro="" textlink="">
      <xdr:nvSpPr>
        <xdr:cNvPr id="440" name="7"/>
        <xdr:cNvSpPr/>
      </xdr:nvSpPr>
      <xdr:spPr>
        <a:xfrm>
          <a:off x="17428029" y="1748790"/>
          <a:ext cx="1972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39189</xdr:colOff>
      <xdr:row>10</xdr:row>
      <xdr:rowOff>76200</xdr:rowOff>
    </xdr:from>
    <xdr:to>
      <xdr:col>32</xdr:col>
      <xdr:colOff>97971</xdr:colOff>
      <xdr:row>10</xdr:row>
      <xdr:rowOff>76200</xdr:rowOff>
    </xdr:to>
    <xdr:cxnSp macro="">
      <xdr:nvCxnSpPr>
        <xdr:cNvPr id="18500" name="Straight Arrow Connector 18499"/>
        <xdr:cNvCxnSpPr/>
      </xdr:nvCxnSpPr>
      <xdr:spPr>
        <a:xfrm>
          <a:off x="17428029" y="1805940"/>
          <a:ext cx="1959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9</xdr:row>
      <xdr:rowOff>19050</xdr:rowOff>
    </xdr:from>
    <xdr:to>
      <xdr:col>33</xdr:col>
      <xdr:colOff>60053</xdr:colOff>
      <xdr:row>9</xdr:row>
      <xdr:rowOff>133350</xdr:rowOff>
    </xdr:to>
    <xdr:sp macro="" textlink="">
      <xdr:nvSpPr>
        <xdr:cNvPr id="18501" name="6"/>
        <xdr:cNvSpPr/>
      </xdr:nvSpPr>
      <xdr:spPr>
        <a:xfrm>
          <a:off x="17408434" y="1596390"/>
          <a:ext cx="3147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9</xdr:row>
      <xdr:rowOff>76200</xdr:rowOff>
    </xdr:from>
    <xdr:to>
      <xdr:col>33</xdr:col>
      <xdr:colOff>58783</xdr:colOff>
      <xdr:row>9</xdr:row>
      <xdr:rowOff>76200</xdr:rowOff>
    </xdr:to>
    <xdr:cxnSp macro="">
      <xdr:nvCxnSpPr>
        <xdr:cNvPr id="18502" name="Straight Arrow Connector 18501"/>
        <xdr:cNvCxnSpPr/>
      </xdr:nvCxnSpPr>
      <xdr:spPr>
        <a:xfrm>
          <a:off x="17408434" y="1653540"/>
          <a:ext cx="3135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8</xdr:row>
      <xdr:rowOff>19050</xdr:rowOff>
    </xdr:from>
    <xdr:to>
      <xdr:col>31</xdr:col>
      <xdr:colOff>40459</xdr:colOff>
      <xdr:row>8</xdr:row>
      <xdr:rowOff>133350</xdr:rowOff>
    </xdr:to>
    <xdr:sp macro="" textlink="">
      <xdr:nvSpPr>
        <xdr:cNvPr id="18503" name="5"/>
        <xdr:cNvSpPr/>
      </xdr:nvSpPr>
      <xdr:spPr>
        <a:xfrm>
          <a:off x="17408434" y="14439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8</xdr:row>
      <xdr:rowOff>76200</xdr:rowOff>
    </xdr:from>
    <xdr:to>
      <xdr:col>31</xdr:col>
      <xdr:colOff>39189</xdr:colOff>
      <xdr:row>8</xdr:row>
      <xdr:rowOff>76200</xdr:rowOff>
    </xdr:to>
    <xdr:cxnSp macro="">
      <xdr:nvCxnSpPr>
        <xdr:cNvPr id="18504" name="Straight Arrow Connector 18503"/>
        <xdr:cNvCxnSpPr/>
      </xdr:nvCxnSpPr>
      <xdr:spPr>
        <a:xfrm>
          <a:off x="17408434" y="1501140"/>
          <a:ext cx="195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7</xdr:row>
      <xdr:rowOff>19050</xdr:rowOff>
    </xdr:from>
    <xdr:to>
      <xdr:col>32</xdr:col>
      <xdr:colOff>9434</xdr:colOff>
      <xdr:row>7</xdr:row>
      <xdr:rowOff>146050</xdr:rowOff>
    </xdr:to>
    <xdr:sp macro="" textlink="">
      <xdr:nvSpPr>
        <xdr:cNvPr id="18505" name="4"/>
        <xdr:cNvSpPr/>
      </xdr:nvSpPr>
      <xdr:spPr>
        <a:xfrm>
          <a:off x="17408434" y="12915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6</xdr:row>
      <xdr:rowOff>19050</xdr:rowOff>
    </xdr:from>
    <xdr:to>
      <xdr:col>31</xdr:col>
      <xdr:colOff>40459</xdr:colOff>
      <xdr:row>6</xdr:row>
      <xdr:rowOff>133350</xdr:rowOff>
    </xdr:to>
    <xdr:sp macro="" textlink="">
      <xdr:nvSpPr>
        <xdr:cNvPr id="18506" name="3"/>
        <xdr:cNvSpPr/>
      </xdr:nvSpPr>
      <xdr:spPr>
        <a:xfrm>
          <a:off x="17408434" y="1139190"/>
          <a:ext cx="208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6</xdr:row>
      <xdr:rowOff>76200</xdr:rowOff>
    </xdr:from>
    <xdr:to>
      <xdr:col>31</xdr:col>
      <xdr:colOff>39189</xdr:colOff>
      <xdr:row>6</xdr:row>
      <xdr:rowOff>76200</xdr:rowOff>
    </xdr:to>
    <xdr:cxnSp macro="">
      <xdr:nvCxnSpPr>
        <xdr:cNvPr id="18507" name="Straight Arrow Connector 18506"/>
        <xdr:cNvCxnSpPr/>
      </xdr:nvCxnSpPr>
      <xdr:spPr>
        <a:xfrm>
          <a:off x="17408434" y="1196340"/>
          <a:ext cx="195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5</xdr:row>
      <xdr:rowOff>19050</xdr:rowOff>
    </xdr:from>
    <xdr:to>
      <xdr:col>34</xdr:col>
      <xdr:colOff>40458</xdr:colOff>
      <xdr:row>5</xdr:row>
      <xdr:rowOff>133350</xdr:rowOff>
    </xdr:to>
    <xdr:sp macro="" textlink="">
      <xdr:nvSpPr>
        <xdr:cNvPr id="18508" name="2"/>
        <xdr:cNvSpPr/>
      </xdr:nvSpPr>
      <xdr:spPr>
        <a:xfrm>
          <a:off x="17408434" y="986790"/>
          <a:ext cx="4323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5</xdr:row>
      <xdr:rowOff>76200</xdr:rowOff>
    </xdr:from>
    <xdr:to>
      <xdr:col>34</xdr:col>
      <xdr:colOff>12245</xdr:colOff>
      <xdr:row>5</xdr:row>
      <xdr:rowOff>76200</xdr:rowOff>
    </xdr:to>
    <xdr:cxnSp macro="">
      <xdr:nvCxnSpPr>
        <xdr:cNvPr id="18509" name="Straight Arrow Connector 18508"/>
        <xdr:cNvCxnSpPr/>
      </xdr:nvCxnSpPr>
      <xdr:spPr>
        <a:xfrm>
          <a:off x="17408434" y="1043940"/>
          <a:ext cx="4041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19594</xdr:colOff>
      <xdr:row>4</xdr:row>
      <xdr:rowOff>19050</xdr:rowOff>
    </xdr:from>
    <xdr:to>
      <xdr:col>43</xdr:col>
      <xdr:colOff>118835</xdr:colOff>
      <xdr:row>4</xdr:row>
      <xdr:rowOff>133350</xdr:rowOff>
    </xdr:to>
    <xdr:sp macro="" textlink="">
      <xdr:nvSpPr>
        <xdr:cNvPr id="18510" name="1"/>
        <xdr:cNvSpPr/>
      </xdr:nvSpPr>
      <xdr:spPr>
        <a:xfrm>
          <a:off x="17408434" y="834390"/>
          <a:ext cx="174516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19594</xdr:colOff>
      <xdr:row>4</xdr:row>
      <xdr:rowOff>76200</xdr:rowOff>
    </xdr:from>
    <xdr:to>
      <xdr:col>32</xdr:col>
      <xdr:colOff>53403</xdr:colOff>
      <xdr:row>4</xdr:row>
      <xdr:rowOff>76200</xdr:rowOff>
    </xdr:to>
    <xdr:cxnSp macro="">
      <xdr:nvCxnSpPr>
        <xdr:cNvPr id="18511" name="Straight Arrow Connector 18510"/>
        <xdr:cNvCxnSpPr/>
      </xdr:nvCxnSpPr>
      <xdr:spPr>
        <a:xfrm>
          <a:off x="17408434" y="891540"/>
          <a:ext cx="1709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15</xdr:row>
      <xdr:rowOff>76200</xdr:rowOff>
    </xdr:to>
    <xdr:graphicFrame macro="">
      <xdr:nvGraphicFramePr>
        <xdr:cNvPr id="2" name="Chart 1">
          <a:extLst>
            <a:ext uri="{FF2B5EF4-FFF2-40B4-BE49-F238E27FC236}">
              <a16:creationId xmlns="" xmlns:a16="http://schemas.microsoft.com/office/drawing/2014/main" id="{9E5AB051-0B1A-E1B1-781A-0AE6734979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io/xlgantt-howto-09-multilingual-support/" TargetMode="External"/><Relationship Id="rId13" Type="http://schemas.openxmlformats.org/officeDocument/2006/relationships/hyperlink" Target="https://xlworks.io/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io/xlgantt-howto-03-gantt-chart/" TargetMode="External"/><Relationship Id="rId7" Type="http://schemas.openxmlformats.org/officeDocument/2006/relationships/hyperlink" Target="https://xlworks.io/xlgantt-howto-08-add-tasks-to-outlook/" TargetMode="External"/><Relationship Id="rId12" Type="http://schemas.openxmlformats.org/officeDocument/2006/relationships/hyperlink" Target="https://xlworks.io/xlgantt-howto-04-project-progress/" TargetMode="External"/><Relationship Id="rId17" Type="http://schemas.openxmlformats.org/officeDocument/2006/relationships/hyperlink" Target="https://xlworks.io/xlgantt-howto-16-task-dependencies/" TargetMode="External"/><Relationship Id="rId2" Type="http://schemas.openxmlformats.org/officeDocument/2006/relationships/hyperlink" Target="https://xlworks.io/xlgantt-howto-2-input-task-update-schedule/" TargetMode="External"/><Relationship Id="rId16" Type="http://schemas.openxmlformats.org/officeDocument/2006/relationships/hyperlink" Target="https://xlworks.io/xlgantt-howto-14-workloads/" TargetMode="External"/><Relationship Id="rId1" Type="http://schemas.openxmlformats.org/officeDocument/2006/relationships/hyperlink" Target="https://xlworks.io/xlgantt-howto-1-getting-started-with-xlgantt/" TargetMode="External"/><Relationship Id="rId6" Type="http://schemas.openxmlformats.org/officeDocument/2006/relationships/hyperlink" Target="https://xlworks.io/xlgantt-howto-07-deliverables/" TargetMode="External"/><Relationship Id="rId11" Type="http://schemas.openxmlformats.org/officeDocument/2006/relationships/hyperlink" Target="https://xlworks.io/xlgantt-howto-12-integration-with-excel/" TargetMode="External"/><Relationship Id="rId5" Type="http://schemas.openxmlformats.org/officeDocument/2006/relationships/hyperlink" Target="https://xlworks.io/xlgantt-howto-06-schedule-change-management/" TargetMode="External"/><Relationship Id="rId15" Type="http://schemas.openxmlformats.org/officeDocument/2006/relationships/hyperlink" Target="https://xlworks.io/xlgantt-howto-15-color-theme/" TargetMode="External"/><Relationship Id="rId10" Type="http://schemas.openxmlformats.org/officeDocument/2006/relationships/hyperlink" Target="https://xlworks.io/xlgantt-howto-11-calendar/" TargetMode="External"/><Relationship Id="rId4" Type="http://schemas.openxmlformats.org/officeDocument/2006/relationships/hyperlink" Target="https://xlworks.io/xlgantt-howto-05-analysis-report/" TargetMode="External"/><Relationship Id="rId9" Type="http://schemas.openxmlformats.org/officeDocument/2006/relationships/hyperlink" Target="https://xlworks.io/xlgantt-howto-10-import-schedule/" TargetMode="External"/><Relationship Id="rId14" Type="http://schemas.openxmlformats.org/officeDocument/2006/relationships/hyperlink" Target="https://xlworks.io/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app.visily.ai/projects/9d40a0d7-85f4-433a-b197-31537d523a7f/boards/1392768" TargetMode="External"/><Relationship Id="rId2" Type="http://schemas.openxmlformats.org/officeDocument/2006/relationships/hyperlink" Target="https://lgcns.sharepoint.com/:f:/s/o365m_63000012/EjW5EslNKe9DlcVSXCHSV4YBQZUJlJRMKzyBhWfB7ZJ6cw?e=3uU0dj" TargetMode="External"/><Relationship Id="rId1" Type="http://schemas.openxmlformats.org/officeDocument/2006/relationships/hyperlink" Target="https://wire.lgcns.com/confluence/pages/viewpage.action?pageId=1026129949"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xlworks.io/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topLeftCell="A13" zoomScale="90" zoomScaleNormal="90" workbookViewId="0">
      <selection sqref="A1:G2"/>
    </sheetView>
  </sheetViews>
  <sheetFormatPr defaultColWidth="9" defaultRowHeight="15.6"/>
  <cols>
    <col min="1" max="1" width="5.88671875" style="79" customWidth="1"/>
    <col min="2" max="2" width="29.88671875" style="100" customWidth="1"/>
    <col min="3" max="3" width="1.33203125" style="79" customWidth="1"/>
    <col min="4" max="11" width="9" style="79"/>
    <col min="12" max="12" width="19.4414062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75" t="s">
        <v>0</v>
      </c>
      <c r="B1" s="276"/>
      <c r="C1" s="276"/>
      <c r="D1" s="276"/>
      <c r="E1" s="276"/>
      <c r="F1" s="276"/>
      <c r="G1" s="276"/>
      <c r="H1" s="113"/>
      <c r="I1" s="113"/>
      <c r="J1" s="279" t="s">
        <v>1</v>
      </c>
      <c r="K1" s="280"/>
      <c r="L1" s="280"/>
    </row>
    <row r="2" spans="1:12" s="32" customFormat="1" ht="33.75" customHeight="1">
      <c r="A2" s="277"/>
      <c r="B2" s="278"/>
      <c r="C2" s="278"/>
      <c r="D2" s="278"/>
      <c r="E2" s="278"/>
      <c r="F2" s="278"/>
      <c r="G2" s="278"/>
      <c r="H2" s="273" t="s">
        <v>2</v>
      </c>
      <c r="I2" s="274"/>
      <c r="J2" s="274"/>
      <c r="K2" s="274"/>
      <c r="L2" s="274"/>
    </row>
    <row r="4" spans="1:12" ht="17.25" customHeight="1">
      <c r="B4" s="281" t="s">
        <v>3</v>
      </c>
      <c r="C4" s="282"/>
      <c r="D4" s="282"/>
      <c r="E4" s="282"/>
      <c r="F4" s="282"/>
      <c r="G4" s="282"/>
      <c r="H4" s="282"/>
      <c r="I4" s="282"/>
      <c r="J4" s="282"/>
      <c r="K4" s="282"/>
      <c r="L4" s="282"/>
    </row>
    <row r="5" spans="1:12" ht="27.75" customHeight="1">
      <c r="B5" s="282"/>
      <c r="C5" s="282"/>
      <c r="D5" s="282"/>
      <c r="E5" s="282"/>
      <c r="F5" s="282"/>
      <c r="G5" s="282"/>
      <c r="H5" s="282"/>
      <c r="I5" s="282"/>
      <c r="J5" s="282"/>
      <c r="K5" s="282"/>
      <c r="L5" s="282"/>
    </row>
    <row r="6" spans="1:12" s="32" customFormat="1" ht="13.8">
      <c r="B6" s="80"/>
    </row>
    <row r="7" spans="1:12" s="32" customFormat="1" ht="18">
      <c r="B7" s="81" t="s">
        <v>4</v>
      </c>
      <c r="D7" s="82"/>
    </row>
    <row r="8" spans="1:12" s="32" customFormat="1" ht="7.5" customHeight="1">
      <c r="B8" s="80"/>
    </row>
    <row r="9" spans="1:12" s="32" customFormat="1" ht="29.25" customHeight="1" thickBot="1">
      <c r="A9" s="83"/>
      <c r="B9" s="84" t="s">
        <v>5</v>
      </c>
      <c r="C9" s="83"/>
      <c r="D9" s="283" t="s">
        <v>6</v>
      </c>
      <c r="E9" s="283"/>
      <c r="F9" s="283"/>
      <c r="G9" s="283"/>
      <c r="H9" s="283"/>
      <c r="I9" s="283"/>
      <c r="J9" s="283"/>
      <c r="K9" s="283"/>
      <c r="L9" s="283"/>
    </row>
    <row r="10" spans="1:12" s="32" customFormat="1" ht="29.25" customHeight="1" thickTop="1" thickBot="1">
      <c r="A10" s="83"/>
      <c r="B10" s="85" t="s">
        <v>7</v>
      </c>
      <c r="C10" s="83"/>
      <c r="D10" s="283" t="s">
        <v>8</v>
      </c>
      <c r="E10" s="283"/>
      <c r="F10" s="283"/>
      <c r="G10" s="283"/>
      <c r="H10" s="283"/>
      <c r="I10" s="283"/>
      <c r="J10" s="283"/>
      <c r="K10" s="283"/>
      <c r="L10" s="283"/>
    </row>
    <row r="11" spans="1:12" s="32" customFormat="1" ht="29.25" customHeight="1" thickTop="1" thickBot="1">
      <c r="A11" s="83"/>
      <c r="B11" s="86" t="s">
        <v>9</v>
      </c>
      <c r="C11" s="83"/>
      <c r="D11" s="283" t="s">
        <v>10</v>
      </c>
      <c r="E11" s="283"/>
      <c r="F11" s="283"/>
      <c r="G11" s="283"/>
      <c r="H11" s="283"/>
      <c r="I11" s="283"/>
      <c r="J11" s="283"/>
      <c r="K11" s="283"/>
      <c r="L11" s="283"/>
    </row>
    <row r="12" spans="1:12" s="32" customFormat="1" ht="29.25" customHeight="1" thickTop="1" thickBot="1">
      <c r="A12" s="83"/>
      <c r="B12" s="87" t="s">
        <v>11</v>
      </c>
      <c r="C12" s="83"/>
      <c r="D12" s="283" t="s">
        <v>12</v>
      </c>
      <c r="E12" s="283"/>
      <c r="F12" s="283"/>
      <c r="G12" s="283"/>
      <c r="H12" s="283"/>
      <c r="I12" s="283"/>
      <c r="J12" s="283"/>
      <c r="K12" s="283"/>
      <c r="L12" s="283"/>
    </row>
    <row r="13" spans="1:12" s="32" customFormat="1" ht="29.25" customHeight="1" thickTop="1" thickBot="1">
      <c r="A13" s="83"/>
      <c r="B13" s="88" t="s">
        <v>13</v>
      </c>
      <c r="C13" s="83"/>
      <c r="D13" s="283" t="s">
        <v>14</v>
      </c>
      <c r="E13" s="283"/>
      <c r="F13" s="283"/>
      <c r="G13" s="283"/>
      <c r="H13" s="283"/>
      <c r="I13" s="283"/>
      <c r="J13" s="283"/>
      <c r="K13" s="283"/>
      <c r="L13" s="283"/>
    </row>
    <row r="14" spans="1:12" s="32" customFormat="1" ht="29.25" customHeight="1" thickTop="1" thickBot="1">
      <c r="A14" s="83"/>
      <c r="B14" s="89" t="s">
        <v>15</v>
      </c>
      <c r="C14" s="83"/>
      <c r="D14" s="283" t="s">
        <v>16</v>
      </c>
      <c r="E14" s="283"/>
      <c r="F14" s="283"/>
      <c r="G14" s="283"/>
      <c r="H14" s="283"/>
      <c r="I14" s="283"/>
      <c r="J14" s="283"/>
      <c r="K14" s="283"/>
      <c r="L14" s="283"/>
    </row>
    <row r="15" spans="1:12" ht="16.2" thickTop="1">
      <c r="A15" s="90"/>
      <c r="B15" s="91"/>
      <c r="C15" s="90"/>
      <c r="D15" s="92"/>
      <c r="E15" s="92"/>
      <c r="F15" s="92"/>
      <c r="G15" s="92"/>
      <c r="H15" s="92"/>
      <c r="I15" s="92"/>
      <c r="J15" s="92"/>
      <c r="K15" s="92"/>
      <c r="L15" s="92"/>
    </row>
    <row r="16" spans="1:12" s="32" customFormat="1" ht="18">
      <c r="B16" s="81" t="s">
        <v>17</v>
      </c>
      <c r="D16" s="82"/>
    </row>
    <row r="17" spans="2:12" s="32" customFormat="1" ht="5.25" customHeight="1">
      <c r="B17" s="93"/>
      <c r="D17" s="82"/>
    </row>
    <row r="18" spans="2:12" s="32" customFormat="1" ht="26.25" customHeight="1" thickBot="1">
      <c r="B18" s="94" t="s">
        <v>18</v>
      </c>
      <c r="D18" s="271" t="s">
        <v>19</v>
      </c>
      <c r="E18" s="271"/>
      <c r="F18" s="271"/>
      <c r="G18" s="271"/>
      <c r="H18" s="271"/>
      <c r="I18" s="271"/>
      <c r="J18" s="271"/>
      <c r="K18" s="271"/>
      <c r="L18" s="101" t="s">
        <v>20</v>
      </c>
    </row>
    <row r="19" spans="2:12" s="32" customFormat="1" ht="53.25" customHeight="1" thickTop="1" thickBot="1">
      <c r="B19" s="94" t="s">
        <v>21</v>
      </c>
      <c r="D19" s="271" t="s">
        <v>22</v>
      </c>
      <c r="E19" s="271"/>
      <c r="F19" s="271"/>
      <c r="G19" s="271"/>
      <c r="H19" s="271"/>
      <c r="I19" s="271"/>
      <c r="J19" s="271"/>
      <c r="K19" s="271"/>
      <c r="L19" s="101" t="s">
        <v>20</v>
      </c>
    </row>
    <row r="20" spans="2:12" s="32" customFormat="1" ht="26.25" customHeight="1" thickTop="1" thickBot="1">
      <c r="B20" s="94" t="s">
        <v>23</v>
      </c>
      <c r="D20" s="271" t="s">
        <v>24</v>
      </c>
      <c r="E20" s="271"/>
      <c r="F20" s="271"/>
      <c r="G20" s="271"/>
      <c r="H20" s="271"/>
      <c r="I20" s="271"/>
      <c r="J20" s="271"/>
      <c r="K20" s="271"/>
      <c r="L20" s="101" t="s">
        <v>20</v>
      </c>
    </row>
    <row r="21" spans="2:12" s="32" customFormat="1" ht="26.25" customHeight="1" thickTop="1" thickBot="1">
      <c r="B21" s="94" t="s">
        <v>25</v>
      </c>
      <c r="D21" s="271" t="s">
        <v>26</v>
      </c>
      <c r="E21" s="271"/>
      <c r="F21" s="271"/>
      <c r="G21" s="271"/>
      <c r="H21" s="271"/>
      <c r="I21" s="271"/>
      <c r="J21" s="271"/>
      <c r="K21" s="271"/>
      <c r="L21" s="101" t="s">
        <v>20</v>
      </c>
    </row>
    <row r="22" spans="2:12" s="32" customFormat="1" ht="33.75" customHeight="1" thickTop="1" thickBot="1">
      <c r="B22" s="94" t="s">
        <v>27</v>
      </c>
      <c r="D22" s="271" t="s">
        <v>28</v>
      </c>
      <c r="E22" s="271"/>
      <c r="F22" s="271"/>
      <c r="G22" s="271"/>
      <c r="H22" s="271"/>
      <c r="I22" s="271"/>
      <c r="J22" s="271"/>
      <c r="K22" s="271"/>
      <c r="L22" s="101" t="s">
        <v>20</v>
      </c>
    </row>
    <row r="23" spans="2:12" s="32" customFormat="1" ht="52.5" customHeight="1" thickTop="1" thickBot="1">
      <c r="B23" s="94" t="s">
        <v>29</v>
      </c>
      <c r="D23" s="271" t="s">
        <v>30</v>
      </c>
      <c r="E23" s="271"/>
      <c r="F23" s="271"/>
      <c r="G23" s="271"/>
      <c r="H23" s="271"/>
      <c r="I23" s="271"/>
      <c r="J23" s="271"/>
      <c r="K23" s="271"/>
      <c r="L23" s="101" t="s">
        <v>20</v>
      </c>
    </row>
    <row r="24" spans="2:12" s="32" customFormat="1" ht="47.25" customHeight="1" thickTop="1" thickBot="1">
      <c r="B24" s="94" t="s">
        <v>31</v>
      </c>
      <c r="D24" s="271" t="s">
        <v>32</v>
      </c>
      <c r="E24" s="271"/>
      <c r="F24" s="271"/>
      <c r="G24" s="271"/>
      <c r="H24" s="271"/>
      <c r="I24" s="271"/>
      <c r="J24" s="271"/>
      <c r="K24" s="271"/>
      <c r="L24" s="101" t="s">
        <v>20</v>
      </c>
    </row>
    <row r="25" spans="2:12" s="32" customFormat="1" ht="33.75" customHeight="1" thickTop="1" thickBot="1">
      <c r="B25" s="94" t="s">
        <v>33</v>
      </c>
      <c r="D25" s="271" t="s">
        <v>34</v>
      </c>
      <c r="E25" s="271"/>
      <c r="F25" s="271"/>
      <c r="G25" s="271"/>
      <c r="H25" s="271"/>
      <c r="I25" s="271"/>
      <c r="J25" s="271"/>
      <c r="K25" s="271"/>
      <c r="L25" s="101" t="s">
        <v>20</v>
      </c>
    </row>
    <row r="26" spans="2:12" s="32" customFormat="1" ht="53.25" customHeight="1" thickTop="1" thickBot="1">
      <c r="B26" s="94" t="s">
        <v>35</v>
      </c>
      <c r="D26" s="271" t="s">
        <v>36</v>
      </c>
      <c r="E26" s="271"/>
      <c r="F26" s="271"/>
      <c r="G26" s="271"/>
      <c r="H26" s="271"/>
      <c r="I26" s="271"/>
      <c r="J26" s="271"/>
      <c r="K26" s="271"/>
      <c r="L26" s="101" t="s">
        <v>20</v>
      </c>
    </row>
    <row r="27" spans="2:12" s="32" customFormat="1" ht="35.25" customHeight="1" thickTop="1" thickBot="1">
      <c r="B27" s="94" t="s">
        <v>37</v>
      </c>
      <c r="D27" s="271" t="s">
        <v>38</v>
      </c>
      <c r="E27" s="271"/>
      <c r="F27" s="271"/>
      <c r="G27" s="271"/>
      <c r="H27" s="271"/>
      <c r="I27" s="271"/>
      <c r="J27" s="271"/>
      <c r="K27" s="271"/>
      <c r="L27" s="101" t="s">
        <v>20</v>
      </c>
    </row>
    <row r="28" spans="2:12" s="32" customFormat="1" ht="43.5" customHeight="1" thickTop="1" thickBot="1">
      <c r="B28" s="94" t="s">
        <v>11</v>
      </c>
      <c r="D28" s="271" t="s">
        <v>39</v>
      </c>
      <c r="E28" s="271"/>
      <c r="F28" s="271"/>
      <c r="G28" s="271"/>
      <c r="H28" s="271"/>
      <c r="I28" s="271"/>
      <c r="J28" s="271"/>
      <c r="K28" s="271"/>
      <c r="L28" s="101" t="s">
        <v>20</v>
      </c>
    </row>
    <row r="29" spans="2:12" s="32" customFormat="1" ht="49.5" customHeight="1" thickTop="1" thickBot="1">
      <c r="B29" s="94" t="s">
        <v>40</v>
      </c>
      <c r="D29" s="271" t="s">
        <v>41</v>
      </c>
      <c r="E29" s="271"/>
      <c r="F29" s="271"/>
      <c r="G29" s="271"/>
      <c r="H29" s="271"/>
      <c r="I29" s="271"/>
      <c r="J29" s="271"/>
      <c r="K29" s="271"/>
      <c r="L29" s="101" t="s">
        <v>20</v>
      </c>
    </row>
    <row r="30" spans="2:12" s="32" customFormat="1" ht="24.75" customHeight="1" thickTop="1" thickBot="1">
      <c r="B30" s="185" t="s">
        <v>42</v>
      </c>
      <c r="D30" s="271" t="s">
        <v>43</v>
      </c>
      <c r="E30" s="271"/>
      <c r="F30" s="271"/>
      <c r="G30" s="271"/>
      <c r="H30" s="271"/>
      <c r="I30" s="271"/>
      <c r="J30" s="271"/>
      <c r="K30" s="271"/>
      <c r="L30" s="101" t="s">
        <v>20</v>
      </c>
    </row>
    <row r="31" spans="2:12" s="32" customFormat="1" ht="24.75" customHeight="1" thickTop="1" thickBot="1">
      <c r="B31" s="94" t="s">
        <v>44</v>
      </c>
      <c r="D31" s="271" t="s">
        <v>45</v>
      </c>
      <c r="E31" s="271"/>
      <c r="F31" s="271"/>
      <c r="G31" s="271"/>
      <c r="H31" s="271"/>
      <c r="I31" s="271"/>
      <c r="J31" s="271"/>
      <c r="K31" s="271"/>
      <c r="L31" s="101" t="s">
        <v>20</v>
      </c>
    </row>
    <row r="32" spans="2:12" s="32" customFormat="1" ht="24.75" customHeight="1" thickTop="1" thickBot="1">
      <c r="B32" s="94" t="s">
        <v>46</v>
      </c>
      <c r="D32" s="271" t="s">
        <v>47</v>
      </c>
      <c r="E32" s="271"/>
      <c r="F32" s="271"/>
      <c r="G32" s="271"/>
      <c r="H32" s="271"/>
      <c r="I32" s="271"/>
      <c r="J32" s="271"/>
      <c r="K32" s="271"/>
      <c r="L32" s="101" t="s">
        <v>20</v>
      </c>
    </row>
    <row r="33" spans="2:12" s="32" customFormat="1" ht="15" thickTop="1">
      <c r="B33" s="95"/>
      <c r="D33" s="82"/>
      <c r="L33" s="83"/>
    </row>
    <row r="34" spans="2:12" s="32" customFormat="1" ht="18.75" customHeight="1">
      <c r="B34" s="96" t="s">
        <v>48</v>
      </c>
      <c r="C34" s="97"/>
      <c r="D34" s="98"/>
      <c r="E34" s="97"/>
      <c r="F34" s="97"/>
      <c r="G34" s="97"/>
      <c r="H34" s="97"/>
      <c r="I34" s="97"/>
      <c r="J34" s="97"/>
      <c r="K34" s="97"/>
      <c r="L34" s="99"/>
    </row>
    <row r="35" spans="2:12" s="32" customFormat="1" ht="59.25" customHeight="1">
      <c r="B35" s="272" t="s">
        <v>49</v>
      </c>
      <c r="C35" s="272"/>
      <c r="D35" s="272"/>
      <c r="E35" s="272"/>
      <c r="F35" s="272"/>
      <c r="G35" s="272"/>
      <c r="H35" s="272"/>
      <c r="I35" s="272"/>
      <c r="J35" s="272"/>
      <c r="K35" s="272"/>
      <c r="L35" s="272"/>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io/xlgantt-howto-1-getting-started-with-xlgantt/"/>
    <hyperlink ref="L19" r:id="rId2" display="https://xlworks.io/xlgantt-howto-2-input-task-update-schedule/"/>
    <hyperlink ref="L20" r:id="rId3" display="https://xlworks.io/xlgantt-howto-03-gantt-chart/"/>
    <hyperlink ref="L22" r:id="rId4" display="https://xlworks.io/xlgantt-howto-05-analysis-report/"/>
    <hyperlink ref="L23" r:id="rId5" display="https://xlworks.io/xlgantt-howto-06-schedule-change-management/"/>
    <hyperlink ref="L24" r:id="rId6" display="https://xlworks.io/xlgantt-howto-07-deliverables/"/>
    <hyperlink ref="L25" r:id="rId7" display="https://xlworks.io/xlgantt-howto-08-add-tasks-to-outlook/"/>
    <hyperlink ref="L26" r:id="rId8" display="https://xlworks.io/xlgantt-howto-09-multilingual-support/"/>
    <hyperlink ref="L27" r:id="rId9" display="https://xlworks.io/xlgantt-howto-10-import-schedule/"/>
    <hyperlink ref="L28" r:id="rId10" display="https://xlworks.io/xlgantt-howto-11-calendar/"/>
    <hyperlink ref="L29" r:id="rId11" display="https://xlworks.io/xlgantt-howto-12-integration-with-excel/"/>
    <hyperlink ref="L21" r:id="rId12" display="https://xlworks.io/xlgantt-howto-04-project-progress/"/>
    <hyperlink ref="B12" location="Calendar!A1" display="Calendar"/>
    <hyperlink ref="J1" r:id="rId13" display="https://xlworks.io/xlgantt-project-scheduler/"/>
    <hyperlink ref="H2" r:id="rId14" display="https://xlworks.io/xlgantt-project-scheduler/"/>
    <hyperlink ref="L31" r:id="rId15" display="https://xlworks.io/xlgantt-howto-15-color-theme/"/>
    <hyperlink ref="L30" r:id="rId16" display="https://xlworks.io/xlgantt-howto-14-workloads/"/>
    <hyperlink ref="L32" r:id="rId17" display="https://xlworks.io/xlgantt-howto-16-task-dependencies/"/>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R132"/>
  <sheetViews>
    <sheetView tabSelected="1" zoomScale="190" zoomScaleNormal="190" zoomScaleSheetLayoutView="115" zoomScalePageLayoutView="55" workbookViewId="0">
      <pane ySplit="4" topLeftCell="A47" activePane="bottomLeft" state="frozen"/>
      <selection activeCell="D1" sqref="D1"/>
      <selection pane="bottomLeft" activeCell="D5" sqref="D5"/>
    </sheetView>
  </sheetViews>
  <sheetFormatPr defaultColWidth="10" defaultRowHeight="12" customHeight="1" outlineLevelRow="4"/>
  <cols>
    <col min="1" max="1" width="9.109375" style="142" hidden="1" customWidth="1"/>
    <col min="2" max="2" width="9" style="142" hidden="1" customWidth="1"/>
    <col min="3" max="3" width="8.44140625" style="142" hidden="1" customWidth="1"/>
    <col min="4" max="4" width="9.6640625" style="143" customWidth="1"/>
    <col min="5" max="5" width="3.5546875" style="144" customWidth="1"/>
    <col min="6" max="14" width="8.109375" style="144" customWidth="1"/>
    <col min="15" max="15" width="30.33203125" style="144" bestFit="1" customWidth="1"/>
    <col min="16" max="16" width="10.44140625" style="145" bestFit="1" customWidth="1"/>
    <col min="17" max="17" width="10" style="145" bestFit="1" customWidth="1"/>
    <col min="18" max="18" width="7.5546875" style="144" customWidth="1"/>
    <col min="19" max="22" width="7.33203125" style="146" customWidth="1"/>
    <col min="23" max="24" width="9.6640625" style="145" customWidth="1"/>
    <col min="25" max="25" width="7.44140625" style="147" customWidth="1"/>
    <col min="26" max="26" width="6" style="148" customWidth="1"/>
    <col min="27" max="27" width="6.109375" style="146" customWidth="1"/>
    <col min="28" max="28" width="12.88671875" style="144" customWidth="1"/>
    <col min="29" max="29" width="10.33203125" style="149" customWidth="1"/>
    <col min="30" max="30" width="8.44140625" style="150" customWidth="1"/>
    <col min="31" max="31" width="9.109375" style="151" customWidth="1"/>
    <col min="32" max="122" width="2" style="119" customWidth="1"/>
    <col min="123" max="16384" width="10" style="119"/>
  </cols>
  <sheetData>
    <row r="1" spans="1:122" s="131" customFormat="1" ht="25.05" customHeight="1">
      <c r="A1" s="120"/>
      <c r="B1" s="121"/>
      <c r="C1" s="122"/>
      <c r="D1" s="153" t="str" cm="1">
        <f t="array" aca="1" ref="D1" ca="1">xlgantt.ProjectName()</f>
        <v>Project XYZ</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09/30/2024~12/27/2024 [Plan:96.08% Actual:9.80%]</v>
      </c>
      <c r="AF1" s="166" t="s">
        <v>50</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122" s="131" customFormat="1" ht="15" customHeight="1">
      <c r="A2" s="132"/>
      <c r="B2" s="132"/>
      <c r="C2" s="133"/>
      <c r="D2" s="300"/>
      <c r="E2" s="300"/>
      <c r="F2" s="300"/>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Star(*) marks-required fields</v>
      </c>
      <c r="AF2" s="317" t="s">
        <v>51</v>
      </c>
      <c r="AG2" s="317"/>
      <c r="AH2" s="317"/>
      <c r="AI2" s="317"/>
      <c r="AJ2" s="317" t="s">
        <v>52</v>
      </c>
      <c r="AK2" s="317"/>
      <c r="AL2" s="317"/>
      <c r="AM2" s="317"/>
      <c r="AN2" s="317" t="s">
        <v>53</v>
      </c>
      <c r="AO2" s="317"/>
      <c r="AP2" s="317"/>
      <c r="AQ2" s="317"/>
      <c r="AR2" s="317" t="s">
        <v>54</v>
      </c>
      <c r="AS2" s="317"/>
      <c r="AT2" s="317"/>
      <c r="AU2" s="317"/>
      <c r="AV2" s="270"/>
      <c r="AW2" s="270"/>
      <c r="AX2" s="270"/>
      <c r="AY2" s="270"/>
      <c r="AZ2" s="270"/>
      <c r="BA2" s="270"/>
      <c r="BB2" s="270"/>
      <c r="BC2" s="270"/>
      <c r="BD2" s="270"/>
      <c r="BE2" s="270"/>
      <c r="BF2" s="270"/>
      <c r="BG2" s="270"/>
      <c r="BH2" s="270"/>
      <c r="BI2" s="270"/>
      <c r="BJ2" s="270"/>
      <c r="BK2" s="270"/>
      <c r="BL2" s="270"/>
      <c r="BM2" s="270"/>
      <c r="BN2" s="270"/>
      <c r="BO2" s="270"/>
      <c r="BP2" s="270"/>
      <c r="BQ2" s="270"/>
      <c r="BR2" s="270"/>
      <c r="BS2" s="270"/>
      <c r="BT2" s="270"/>
      <c r="BU2" s="270"/>
      <c r="BV2" s="270"/>
      <c r="BW2" s="270"/>
      <c r="BX2" s="270"/>
      <c r="BY2" s="270"/>
      <c r="BZ2" s="270"/>
      <c r="CA2" s="270"/>
      <c r="CB2" s="270"/>
      <c r="CC2" s="270"/>
      <c r="CD2" s="270"/>
      <c r="CE2" s="270"/>
      <c r="CF2" s="270"/>
      <c r="CG2" s="270"/>
      <c r="CH2" s="270"/>
      <c r="CI2" s="270"/>
      <c r="CJ2" s="270"/>
      <c r="CK2" s="270"/>
      <c r="CL2" s="270"/>
      <c r="CM2" s="270"/>
      <c r="CN2" s="270"/>
      <c r="CO2" s="270"/>
      <c r="CP2" s="270"/>
      <c r="CQ2" s="270"/>
      <c r="CR2" s="270"/>
      <c r="CS2" s="270"/>
      <c r="CT2" s="270"/>
      <c r="CU2" s="270"/>
      <c r="CV2" s="270"/>
      <c r="CW2" s="270"/>
      <c r="CX2" s="270"/>
      <c r="CY2" s="270"/>
      <c r="CZ2" s="270"/>
      <c r="DA2" s="270"/>
      <c r="DB2" s="270"/>
      <c r="DC2" s="270"/>
      <c r="DD2" s="270"/>
      <c r="DE2" s="270"/>
      <c r="DF2" s="270"/>
      <c r="DG2" s="270"/>
      <c r="DH2" s="270"/>
      <c r="DI2" s="270"/>
      <c r="DJ2" s="270"/>
      <c r="DK2" s="270"/>
      <c r="DL2" s="270"/>
      <c r="DM2" s="270"/>
      <c r="DN2" s="270"/>
      <c r="DO2" s="270"/>
      <c r="DP2" s="270"/>
      <c r="DQ2" s="270"/>
      <c r="DR2" s="270"/>
    </row>
    <row r="3" spans="1:122" s="118" customFormat="1" ht="19.05" customHeight="1">
      <c r="A3" s="289" t="s">
        <v>55</v>
      </c>
      <c r="B3" s="291" t="s">
        <v>56</v>
      </c>
      <c r="C3" s="293" t="s">
        <v>57</v>
      </c>
      <c r="D3" s="294" t="s">
        <v>58</v>
      </c>
      <c r="E3" s="295" t="s">
        <v>59</v>
      </c>
      <c r="F3" s="296"/>
      <c r="G3" s="296"/>
      <c r="H3" s="296"/>
      <c r="I3" s="296"/>
      <c r="J3" s="296"/>
      <c r="K3" s="296"/>
      <c r="L3" s="296"/>
      <c r="M3" s="296"/>
      <c r="N3" s="296"/>
      <c r="O3" s="303" t="s">
        <v>60</v>
      </c>
      <c r="P3" s="303" t="s">
        <v>61</v>
      </c>
      <c r="Q3" s="303" t="s">
        <v>62</v>
      </c>
      <c r="R3" s="285" t="s">
        <v>63</v>
      </c>
      <c r="S3" s="305" t="s">
        <v>64</v>
      </c>
      <c r="T3" s="311" t="s">
        <v>65</v>
      </c>
      <c r="U3" s="305" t="s">
        <v>66</v>
      </c>
      <c r="V3" s="305" t="s">
        <v>67</v>
      </c>
      <c r="W3" s="313" t="s">
        <v>68</v>
      </c>
      <c r="X3" s="313" t="s">
        <v>69</v>
      </c>
      <c r="Y3" s="307" t="s">
        <v>1695</v>
      </c>
      <c r="Z3" s="309" t="s">
        <v>70</v>
      </c>
      <c r="AA3" s="301" t="s">
        <v>71</v>
      </c>
      <c r="AB3" s="303" t="s">
        <v>72</v>
      </c>
      <c r="AC3" s="285" t="s">
        <v>73</v>
      </c>
      <c r="AD3" s="287" t="s">
        <v>74</v>
      </c>
      <c r="AE3" s="298" t="s">
        <v>75</v>
      </c>
      <c r="AF3" s="318" t="s">
        <v>76</v>
      </c>
      <c r="AG3" s="315"/>
      <c r="AH3" s="315"/>
      <c r="AI3" s="315"/>
      <c r="AJ3" s="314" t="s">
        <v>77</v>
      </c>
      <c r="AK3" s="315"/>
      <c r="AL3" s="315"/>
      <c r="AM3" s="315"/>
      <c r="AN3" s="314" t="s">
        <v>78</v>
      </c>
      <c r="AO3" s="315"/>
      <c r="AP3" s="315"/>
      <c r="AQ3" s="315"/>
      <c r="AR3" s="314" t="s">
        <v>79</v>
      </c>
      <c r="AS3" s="315"/>
      <c r="AT3" s="315"/>
      <c r="AU3" s="316"/>
    </row>
    <row r="4" spans="1:122" s="118" customFormat="1" ht="6" customHeight="1">
      <c r="A4" s="290"/>
      <c r="B4" s="292"/>
      <c r="C4" s="289"/>
      <c r="D4" s="286"/>
      <c r="E4" s="297"/>
      <c r="F4" s="296"/>
      <c r="G4" s="296"/>
      <c r="H4" s="296"/>
      <c r="I4" s="296"/>
      <c r="J4" s="296"/>
      <c r="K4" s="296"/>
      <c r="L4" s="296"/>
      <c r="M4" s="296"/>
      <c r="N4" s="296"/>
      <c r="O4" s="304"/>
      <c r="P4" s="304"/>
      <c r="Q4" s="304"/>
      <c r="R4" s="286"/>
      <c r="S4" s="306"/>
      <c r="T4" s="312"/>
      <c r="U4" s="306"/>
      <c r="V4" s="306"/>
      <c r="W4" s="304"/>
      <c r="X4" s="304"/>
      <c r="Y4" s="308"/>
      <c r="Z4" s="310"/>
      <c r="AA4" s="302"/>
      <c r="AB4" s="304"/>
      <c r="AC4" s="286"/>
      <c r="AD4" s="288"/>
      <c r="AE4" s="299"/>
      <c r="AF4" s="205">
        <v>45564</v>
      </c>
      <c r="AG4" s="206">
        <v>45571</v>
      </c>
      <c r="AH4" s="206">
        <v>45578</v>
      </c>
      <c r="AI4" s="206">
        <v>45585</v>
      </c>
      <c r="AJ4" s="206">
        <v>45592</v>
      </c>
      <c r="AK4" s="206">
        <v>45599</v>
      </c>
      <c r="AL4" s="206">
        <v>45606</v>
      </c>
      <c r="AM4" s="206">
        <v>45613</v>
      </c>
      <c r="AN4" s="206">
        <v>45620</v>
      </c>
      <c r="AO4" s="206">
        <v>45627</v>
      </c>
      <c r="AP4" s="206">
        <v>45634</v>
      </c>
      <c r="AQ4" s="206">
        <v>45641</v>
      </c>
      <c r="AR4" s="206">
        <v>45648</v>
      </c>
      <c r="AS4" s="242"/>
      <c r="AT4" s="242"/>
      <c r="AU4" s="20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row>
    <row r="5" spans="1:122" ht="12" customHeight="1">
      <c r="A5" s="135"/>
      <c r="B5" s="135" t="s">
        <v>80</v>
      </c>
      <c r="C5" s="135">
        <v>1</v>
      </c>
      <c r="D5" s="165" t="s">
        <v>81</v>
      </c>
      <c r="E5" s="136" t="s">
        <v>1690</v>
      </c>
      <c r="F5" s="136"/>
      <c r="G5" s="136"/>
      <c r="H5" s="136"/>
      <c r="I5" s="136"/>
      <c r="J5" s="136"/>
      <c r="K5" s="136"/>
      <c r="L5" s="136"/>
      <c r="M5" s="136"/>
      <c r="N5" s="136"/>
      <c r="O5" s="136"/>
      <c r="P5" s="137">
        <v>45565</v>
      </c>
      <c r="Q5" s="137">
        <v>45653</v>
      </c>
      <c r="R5" s="136"/>
      <c r="S5" s="138">
        <v>306</v>
      </c>
      <c r="T5" s="138">
        <v>294</v>
      </c>
      <c r="U5" s="138">
        <v>65</v>
      </c>
      <c r="V5" s="138">
        <v>61</v>
      </c>
      <c r="W5" s="137"/>
      <c r="X5" s="137"/>
      <c r="Y5" s="139">
        <v>0</v>
      </c>
      <c r="Z5" s="140">
        <v>0</v>
      </c>
      <c r="AA5" s="138"/>
      <c r="AB5" s="136"/>
      <c r="AC5" s="141"/>
      <c r="AD5" s="164">
        <v>0.96078431372549022</v>
      </c>
      <c r="AE5" s="210">
        <v>9.8039215686274508E-2</v>
      </c>
      <c r="AF5" s="168"/>
      <c r="AG5" s="169" t="str">
        <f>"   " &amp; TEXT(AE5,"#0.00%") &amp; " "</f>
        <v xml:space="preserve">   9.80% </v>
      </c>
      <c r="AH5" s="169"/>
      <c r="AI5" s="169"/>
      <c r="AJ5" s="169"/>
      <c r="AK5" s="169"/>
      <c r="AL5" s="169"/>
      <c r="AM5" s="169"/>
      <c r="AN5" s="169"/>
      <c r="AO5" s="169"/>
      <c r="AP5" s="169"/>
      <c r="AQ5" s="169"/>
      <c r="AR5" s="169" t="str">
        <f>"      " &amp; "CVM" &amp; " " &amp; IF(P5="","",TEXT(P5,"M/D-")) &amp; IF(Q5="","",TEXT(Q5,"M/D")) &amp; " "</f>
        <v xml:space="preserve">      CVM 9/30-12/27 </v>
      </c>
      <c r="AS5" s="169"/>
      <c r="AT5" s="167"/>
      <c r="AU5" s="167"/>
    </row>
    <row r="6" spans="1:122" ht="12" customHeight="1" outlineLevel="1">
      <c r="A6" s="135"/>
      <c r="B6" s="135" t="s">
        <v>80</v>
      </c>
      <c r="C6" s="135">
        <v>2</v>
      </c>
      <c r="D6" s="165" t="s">
        <v>82</v>
      </c>
      <c r="E6" s="136"/>
      <c r="F6" s="212" t="s">
        <v>83</v>
      </c>
      <c r="G6" s="212"/>
      <c r="H6" s="212"/>
      <c r="I6" s="212"/>
      <c r="J6" s="212"/>
      <c r="K6" s="212"/>
      <c r="L6" s="136"/>
      <c r="M6" s="136"/>
      <c r="N6" s="136"/>
      <c r="O6" s="136"/>
      <c r="P6" s="137">
        <v>45565</v>
      </c>
      <c r="Q6" s="137">
        <v>45586</v>
      </c>
      <c r="R6" s="136"/>
      <c r="S6" s="138">
        <v>32</v>
      </c>
      <c r="T6" s="138">
        <v>32</v>
      </c>
      <c r="U6" s="138">
        <v>16</v>
      </c>
      <c r="V6" s="138">
        <v>16</v>
      </c>
      <c r="W6" s="137"/>
      <c r="X6" s="137"/>
      <c r="Y6" s="139">
        <v>0</v>
      </c>
      <c r="Z6" s="140">
        <v>0</v>
      </c>
      <c r="AA6" s="138"/>
      <c r="AB6" s="136"/>
      <c r="AC6" s="141"/>
      <c r="AD6" s="164">
        <v>1</v>
      </c>
      <c r="AE6" s="210">
        <v>0.9375</v>
      </c>
      <c r="AF6" s="168"/>
      <c r="AG6" s="169"/>
      <c r="AH6" s="169"/>
      <c r="AI6" s="169" t="str">
        <f>" " &amp; TEXT(AE6,"#0.00%") &amp; " " &amp; "PLANNING" &amp; " " &amp; IF(P6="","",TEXT(P6,"M/D-")) &amp; IF(Q6="","",TEXT(Q6,"M/D")) &amp; " "</f>
        <v xml:space="preserve"> 93.75% PLANNING 9/30-10/21 </v>
      </c>
      <c r="AJ6" s="169"/>
      <c r="AK6" s="169"/>
      <c r="AL6" s="169"/>
      <c r="AM6" s="169"/>
      <c r="AN6" s="169"/>
      <c r="AO6" s="169"/>
      <c r="AP6" s="169"/>
      <c r="AQ6" s="169"/>
      <c r="AR6" s="169"/>
      <c r="AS6" s="169"/>
    </row>
    <row r="7" spans="1:122" ht="12" customHeight="1" outlineLevel="2">
      <c r="A7" s="135"/>
      <c r="B7" s="135"/>
      <c r="C7" s="135">
        <v>3</v>
      </c>
      <c r="D7" s="165" t="s">
        <v>84</v>
      </c>
      <c r="E7" s="213"/>
      <c r="F7" s="214"/>
      <c r="G7" s="214" t="s">
        <v>85</v>
      </c>
      <c r="H7" s="214"/>
      <c r="I7" s="214"/>
      <c r="J7" s="214"/>
      <c r="K7" s="214"/>
      <c r="L7" s="213"/>
      <c r="M7" s="213"/>
      <c r="N7" s="213"/>
      <c r="O7" s="213"/>
      <c r="P7" s="215">
        <v>45565</v>
      </c>
      <c r="Q7" s="215">
        <v>45565</v>
      </c>
      <c r="R7" s="213"/>
      <c r="S7" s="227">
        <v>1</v>
      </c>
      <c r="T7" s="227">
        <v>1</v>
      </c>
      <c r="U7" s="227">
        <v>1</v>
      </c>
      <c r="V7" s="227">
        <v>1</v>
      </c>
      <c r="W7" s="215">
        <v>45565</v>
      </c>
      <c r="X7" s="215">
        <v>45565</v>
      </c>
      <c r="Y7" s="228">
        <v>1</v>
      </c>
      <c r="Z7" s="229">
        <v>1</v>
      </c>
      <c r="AA7" s="227"/>
      <c r="AB7" s="213"/>
      <c r="AC7" s="230"/>
      <c r="AD7" s="231">
        <v>1</v>
      </c>
      <c r="AE7" s="208">
        <v>1</v>
      </c>
      <c r="AF7" s="168" t="str">
        <f>"  " &amp; TEXT(AE7,"#0.00%") &amp; " " &amp; "Project Management Methodology" &amp; " " &amp; IF(P7="","",TEXT(P7,"M/D-")) &amp; IF(Q7="","",TEXT(Q7,"M/D")) &amp; " "</f>
        <v xml:space="preserve">  100.00% Project Management Methodology 9/30-9/30 </v>
      </c>
      <c r="AG7" s="169"/>
      <c r="AH7" s="169"/>
      <c r="AI7" s="169"/>
      <c r="AJ7" s="169"/>
      <c r="AK7" s="169"/>
      <c r="AL7" s="169"/>
      <c r="AM7" s="169"/>
      <c r="AN7" s="169"/>
      <c r="AO7" s="169"/>
      <c r="AP7" s="169"/>
      <c r="AQ7" s="169"/>
      <c r="AR7" s="169"/>
      <c r="AS7" s="169"/>
    </row>
    <row r="8" spans="1:122" ht="12" customHeight="1" outlineLevel="2">
      <c r="A8" s="135">
        <v>1</v>
      </c>
      <c r="B8" s="135"/>
      <c r="C8" s="135">
        <v>3</v>
      </c>
      <c r="D8" s="165" t="s">
        <v>86</v>
      </c>
      <c r="E8" s="213"/>
      <c r="F8" s="214"/>
      <c r="G8" s="214" t="s">
        <v>87</v>
      </c>
      <c r="H8" s="214"/>
      <c r="I8" s="214"/>
      <c r="J8" s="214"/>
      <c r="K8" s="214"/>
      <c r="L8" s="213"/>
      <c r="M8" s="213"/>
      <c r="N8" s="213"/>
      <c r="O8" s="213"/>
      <c r="P8" s="215">
        <v>45565</v>
      </c>
      <c r="Q8" s="215">
        <v>45565</v>
      </c>
      <c r="R8" s="213"/>
      <c r="S8" s="227">
        <v>0</v>
      </c>
      <c r="T8" s="227">
        <v>0</v>
      </c>
      <c r="U8" s="227">
        <v>1</v>
      </c>
      <c r="V8" s="227">
        <v>1</v>
      </c>
      <c r="W8" s="215">
        <v>45565</v>
      </c>
      <c r="X8" s="215">
        <v>45565</v>
      </c>
      <c r="Y8" s="228">
        <v>1</v>
      </c>
      <c r="Z8" s="229">
        <v>1</v>
      </c>
      <c r="AA8" s="227"/>
      <c r="AB8" s="213"/>
      <c r="AC8" s="230"/>
      <c r="AD8" s="231">
        <v>1</v>
      </c>
      <c r="AE8" s="208">
        <v>1</v>
      </c>
      <c r="AF8" s="168" t="str">
        <f>"     " &amp; TEXT(AE8,"#0.00%") &amp; " " &amp; "Project Organization &amp; Management" &amp; " " &amp; IF(P8="","",TEXT(P8,"M/D-")) &amp; IF(Q8="","",TEXT(Q8,"M/D")) &amp; " "</f>
        <v xml:space="preserve">     100.00% Project Organization &amp; Management 9/30-9/30 </v>
      </c>
      <c r="AG8" s="169"/>
      <c r="AH8" s="169"/>
      <c r="AI8" s="169"/>
      <c r="AJ8" s="169"/>
      <c r="AK8" s="169"/>
      <c r="AL8" s="169"/>
      <c r="AM8" s="169"/>
      <c r="AN8" s="169"/>
      <c r="AO8" s="169"/>
      <c r="AP8" s="169"/>
      <c r="AQ8" s="169"/>
      <c r="AR8" s="169"/>
      <c r="AS8" s="169"/>
    </row>
    <row r="9" spans="1:122" ht="12" customHeight="1" outlineLevel="2">
      <c r="A9" s="135"/>
      <c r="B9" s="135"/>
      <c r="C9" s="135">
        <v>3</v>
      </c>
      <c r="D9" s="165" t="s">
        <v>88</v>
      </c>
      <c r="E9" s="213"/>
      <c r="F9" s="214"/>
      <c r="G9" s="214" t="s">
        <v>89</v>
      </c>
      <c r="H9" s="214"/>
      <c r="I9" s="214"/>
      <c r="J9" s="214"/>
      <c r="K9" s="214"/>
      <c r="L9" s="213"/>
      <c r="M9" s="213"/>
      <c r="N9" s="213"/>
      <c r="O9" s="213"/>
      <c r="P9" s="215">
        <v>45565</v>
      </c>
      <c r="Q9" s="215">
        <v>45565</v>
      </c>
      <c r="R9" s="213"/>
      <c r="S9" s="227">
        <v>1</v>
      </c>
      <c r="T9" s="227">
        <v>1</v>
      </c>
      <c r="U9" s="227">
        <v>1</v>
      </c>
      <c r="V9" s="227">
        <v>1</v>
      </c>
      <c r="W9" s="215">
        <v>45565</v>
      </c>
      <c r="X9" s="215">
        <v>45565</v>
      </c>
      <c r="Y9" s="228">
        <v>1</v>
      </c>
      <c r="Z9" s="229">
        <v>1</v>
      </c>
      <c r="AA9" s="227"/>
      <c r="AB9" s="213"/>
      <c r="AC9" s="230"/>
      <c r="AD9" s="231">
        <v>1</v>
      </c>
      <c r="AE9" s="208">
        <v>1</v>
      </c>
      <c r="AF9" s="168" t="str">
        <f>"  " &amp; TEXT(AE9,"#0.00%") &amp; " " &amp; "Roles and Responsibilities (R&amp;R)" &amp; " " &amp; IF(P9="","",TEXT(P9,"M/D-")) &amp; IF(Q9="","",TEXT(Q9,"M/D")) &amp; " "</f>
        <v xml:space="preserve">  100.00% Roles and Responsibilities (R&amp;R) 9/30-9/30 </v>
      </c>
      <c r="AG9" s="169"/>
      <c r="AH9" s="169"/>
      <c r="AI9" s="169"/>
      <c r="AJ9" s="169"/>
      <c r="AK9" s="169"/>
      <c r="AL9" s="169"/>
      <c r="AM9" s="169"/>
      <c r="AN9" s="169"/>
      <c r="AO9" s="169"/>
      <c r="AP9" s="169"/>
      <c r="AQ9" s="169"/>
      <c r="AR9" s="169"/>
      <c r="AS9" s="169"/>
    </row>
    <row r="10" spans="1:122" ht="12" customHeight="1" outlineLevel="2">
      <c r="A10" s="135"/>
      <c r="B10" s="135" t="s">
        <v>80</v>
      </c>
      <c r="C10" s="135">
        <v>3</v>
      </c>
      <c r="D10" s="165" t="s">
        <v>90</v>
      </c>
      <c r="E10" s="216"/>
      <c r="F10" s="217"/>
      <c r="G10" s="217" t="s">
        <v>91</v>
      </c>
      <c r="H10" s="217"/>
      <c r="I10" s="217"/>
      <c r="J10" s="217"/>
      <c r="K10" s="217"/>
      <c r="L10" s="216"/>
      <c r="M10" s="216"/>
      <c r="N10" s="216"/>
      <c r="O10" s="216"/>
      <c r="P10" s="218">
        <v>45565</v>
      </c>
      <c r="Q10" s="218">
        <v>45580</v>
      </c>
      <c r="R10" s="216"/>
      <c r="S10" s="232">
        <v>22</v>
      </c>
      <c r="T10" s="232">
        <v>22</v>
      </c>
      <c r="U10" s="232">
        <v>12</v>
      </c>
      <c r="V10" s="232">
        <v>12</v>
      </c>
      <c r="W10" s="218"/>
      <c r="X10" s="218"/>
      <c r="Y10" s="233">
        <v>0</v>
      </c>
      <c r="Z10" s="234">
        <v>0</v>
      </c>
      <c r="AA10" s="232"/>
      <c r="AB10" s="216"/>
      <c r="AC10" s="235"/>
      <c r="AD10" s="236">
        <v>1</v>
      </c>
      <c r="AE10" s="211">
        <v>1</v>
      </c>
      <c r="AF10" s="168"/>
      <c r="AG10" s="169"/>
      <c r="AH10" s="169" t="str">
        <f>"   " &amp; TEXT(AE10,"#0.00%") &amp; " " &amp; "Tool Setup" &amp; " " &amp; IF(P10="","",TEXT(P10,"M/D-")) &amp; IF(Q10="","",TEXT(Q10,"M/D")) &amp; " "</f>
        <v xml:space="preserve">   100.00% Tool Setup 9/30-10/15 </v>
      </c>
      <c r="AI10" s="169"/>
      <c r="AJ10" s="169"/>
      <c r="AK10" s="169"/>
      <c r="AL10" s="169"/>
      <c r="AM10" s="169"/>
      <c r="AN10" s="169"/>
      <c r="AO10" s="169"/>
      <c r="AP10" s="169"/>
      <c r="AQ10" s="169"/>
      <c r="AR10" s="169"/>
      <c r="AS10" s="169"/>
    </row>
    <row r="11" spans="1:122" ht="12" customHeight="1" outlineLevel="3">
      <c r="A11" s="135"/>
      <c r="B11" s="135"/>
      <c r="C11" s="135">
        <v>4</v>
      </c>
      <c r="D11" s="165" t="s">
        <v>92</v>
      </c>
      <c r="E11" s="136"/>
      <c r="F11" s="219"/>
      <c r="G11" s="219"/>
      <c r="H11" s="219" t="s">
        <v>93</v>
      </c>
      <c r="I11" s="219"/>
      <c r="J11" s="219"/>
      <c r="K11" s="219"/>
      <c r="L11" s="136"/>
      <c r="M11" s="136"/>
      <c r="N11" s="136"/>
      <c r="O11" s="220"/>
      <c r="P11" s="137">
        <v>45566</v>
      </c>
      <c r="Q11" s="137">
        <v>45575</v>
      </c>
      <c r="R11" s="136"/>
      <c r="S11" s="138">
        <v>8</v>
      </c>
      <c r="T11" s="138">
        <v>8</v>
      </c>
      <c r="U11" s="138">
        <v>8</v>
      </c>
      <c r="V11" s="138">
        <v>8</v>
      </c>
      <c r="W11" s="137">
        <v>45575</v>
      </c>
      <c r="X11" s="137">
        <v>45575</v>
      </c>
      <c r="Y11" s="139">
        <v>1</v>
      </c>
      <c r="Z11" s="140">
        <v>1</v>
      </c>
      <c r="AA11" s="138"/>
      <c r="AB11" s="136"/>
      <c r="AC11" s="141"/>
      <c r="AD11" s="164">
        <v>1</v>
      </c>
      <c r="AE11" s="208">
        <v>1</v>
      </c>
      <c r="AF11" s="168"/>
      <c r="AG11" s="169" t="str">
        <f>"     " &amp; TEXT(AE11,"#0.00%") &amp; " " &amp; "Request account to access current system, source code, database" &amp; " " &amp; IF(P11="","",TEXT(P11,"M/D-")) &amp; IF(Q11="","",TEXT(Q11,"M/D")) &amp; " "</f>
        <v xml:space="preserve">     100.00% Request account to access current system, source code, database 10/1-10/10 </v>
      </c>
      <c r="AH11" s="169"/>
      <c r="AI11" s="169"/>
      <c r="AJ11" s="169"/>
      <c r="AK11" s="169"/>
      <c r="AL11" s="169"/>
      <c r="AM11" s="169"/>
      <c r="AN11" s="169"/>
      <c r="AO11" s="169"/>
      <c r="AP11" s="169"/>
      <c r="AQ11" s="169"/>
      <c r="AR11" s="169"/>
      <c r="AS11" s="169"/>
    </row>
    <row r="12" spans="1:122" ht="12" customHeight="1" outlineLevel="3">
      <c r="A12" s="135"/>
      <c r="B12" s="135"/>
      <c r="C12" s="135">
        <v>4</v>
      </c>
      <c r="D12" s="165" t="s">
        <v>94</v>
      </c>
      <c r="E12" s="136"/>
      <c r="F12" s="219"/>
      <c r="G12" s="219"/>
      <c r="H12" s="219" t="s">
        <v>1691</v>
      </c>
      <c r="I12" s="219"/>
      <c r="J12" s="219"/>
      <c r="K12" s="219"/>
      <c r="L12" s="136"/>
      <c r="M12" s="136"/>
      <c r="N12" s="136"/>
      <c r="O12" s="136"/>
      <c r="P12" s="137">
        <v>45573</v>
      </c>
      <c r="Q12" s="137">
        <v>45576</v>
      </c>
      <c r="R12" s="136"/>
      <c r="S12" s="138">
        <v>4</v>
      </c>
      <c r="T12" s="138">
        <v>4</v>
      </c>
      <c r="U12" s="138">
        <v>4</v>
      </c>
      <c r="V12" s="138">
        <v>4</v>
      </c>
      <c r="W12" s="137">
        <v>45574</v>
      </c>
      <c r="X12" s="137">
        <v>45574</v>
      </c>
      <c r="Y12" s="139">
        <v>1</v>
      </c>
      <c r="Z12" s="140">
        <v>1</v>
      </c>
      <c r="AA12" s="138"/>
      <c r="AB12" s="136"/>
      <c r="AC12" s="141"/>
      <c r="AD12" s="164">
        <v>1</v>
      </c>
      <c r="AE12" s="208">
        <v>1</v>
      </c>
      <c r="AF12" s="168"/>
      <c r="AG12" s="169" t="str">
        <f>"      " &amp; TEXT(AE12,"#0.00%") &amp; " " &amp; "Setup development tools (MySQL, GIT. VSCode, Intelij, DBeaver)" &amp; " " &amp; IF(P12="","",TEXT(P12,"M/D-")) &amp; IF(Q12="","",TEXT(Q12,"M/D")) &amp; " "</f>
        <v xml:space="preserve">      100.00% Setup development tools (MySQL, GIT. VSCode, Intelij, DBeaver) 10/8-10/11 </v>
      </c>
      <c r="AH12" s="169"/>
      <c r="AI12" s="169"/>
      <c r="AJ12" s="169"/>
      <c r="AK12" s="169"/>
      <c r="AL12" s="169"/>
      <c r="AM12" s="169"/>
      <c r="AN12" s="169"/>
      <c r="AO12" s="169"/>
      <c r="AP12" s="169"/>
      <c r="AQ12" s="169"/>
      <c r="AR12" s="169"/>
      <c r="AS12" s="169"/>
    </row>
    <row r="13" spans="1:122" ht="12" customHeight="1" outlineLevel="3">
      <c r="A13" s="135"/>
      <c r="B13" s="135"/>
      <c r="C13" s="135">
        <v>4</v>
      </c>
      <c r="D13" s="165" t="s">
        <v>95</v>
      </c>
      <c r="E13" s="136"/>
      <c r="F13" s="219"/>
      <c r="G13" s="219"/>
      <c r="H13" s="219" t="s">
        <v>96</v>
      </c>
      <c r="I13" s="219"/>
      <c r="J13" s="219"/>
      <c r="K13" s="219"/>
      <c r="L13" s="136"/>
      <c r="M13" s="136"/>
      <c r="N13" s="136"/>
      <c r="O13" s="136"/>
      <c r="P13" s="137">
        <v>45565</v>
      </c>
      <c r="Q13" s="137">
        <v>45566</v>
      </c>
      <c r="R13" s="136"/>
      <c r="S13" s="138">
        <v>2</v>
      </c>
      <c r="T13" s="138">
        <v>2</v>
      </c>
      <c r="U13" s="138">
        <v>2</v>
      </c>
      <c r="V13" s="138">
        <v>2</v>
      </c>
      <c r="W13" s="137">
        <v>45565</v>
      </c>
      <c r="X13" s="137">
        <v>45565</v>
      </c>
      <c r="Y13" s="139">
        <v>1</v>
      </c>
      <c r="Z13" s="140">
        <v>1</v>
      </c>
      <c r="AA13" s="138"/>
      <c r="AB13" s="136"/>
      <c r="AC13" s="141"/>
      <c r="AD13" s="164">
        <v>1</v>
      </c>
      <c r="AE13" s="208">
        <v>1</v>
      </c>
      <c r="AF13" s="168" t="str">
        <f>"   " &amp; TEXT(AE13,"#0.00%") &amp; " " &amp; "Setup  team channel &amp; sharepoint workspace for communication &amp; document" &amp; " " &amp; IF(P13="","",TEXT(P13,"M/D-")) &amp; IF(Q13="","",TEXT(Q13,"M/D")) &amp; " "</f>
        <v xml:space="preserve">   100.00% Setup  team channel &amp; sharepoint workspace for communication &amp; document 9/30-10/1 </v>
      </c>
      <c r="AG13" s="169"/>
      <c r="AH13" s="169"/>
      <c r="AI13" s="169"/>
      <c r="AJ13" s="169"/>
      <c r="AK13" s="169"/>
      <c r="AL13" s="169"/>
      <c r="AM13" s="169"/>
      <c r="AN13" s="169"/>
      <c r="AO13" s="169"/>
      <c r="AP13" s="169"/>
      <c r="AQ13" s="169"/>
      <c r="AR13" s="169"/>
      <c r="AS13" s="169"/>
    </row>
    <row r="14" spans="1:122" ht="12" customHeight="1" outlineLevel="3">
      <c r="A14" s="135"/>
      <c r="B14" s="135"/>
      <c r="C14" s="135">
        <v>4</v>
      </c>
      <c r="D14" s="165" t="s">
        <v>97</v>
      </c>
      <c r="E14" s="136"/>
      <c r="F14" s="219"/>
      <c r="G14" s="219"/>
      <c r="H14" s="219" t="s">
        <v>98</v>
      </c>
      <c r="I14" s="219"/>
      <c r="J14" s="219"/>
      <c r="K14" s="219"/>
      <c r="L14" s="136"/>
      <c r="M14" s="136"/>
      <c r="N14" s="136"/>
      <c r="O14" s="136"/>
      <c r="P14" s="137">
        <v>45565</v>
      </c>
      <c r="Q14" s="137">
        <v>45566</v>
      </c>
      <c r="R14" s="136"/>
      <c r="S14" s="138">
        <v>2</v>
      </c>
      <c r="T14" s="138">
        <v>2</v>
      </c>
      <c r="U14" s="138">
        <v>2</v>
      </c>
      <c r="V14" s="138">
        <v>2</v>
      </c>
      <c r="W14" s="137">
        <v>45565</v>
      </c>
      <c r="X14" s="137">
        <v>45565</v>
      </c>
      <c r="Y14" s="139">
        <v>1</v>
      </c>
      <c r="Z14" s="140">
        <v>1</v>
      </c>
      <c r="AA14" s="138"/>
      <c r="AB14" s="136"/>
      <c r="AC14" s="141"/>
      <c r="AD14" s="164">
        <v>1</v>
      </c>
      <c r="AE14" s="208">
        <v>1</v>
      </c>
      <c r="AF14" s="168" t="str">
        <f>"   " &amp; TEXT(AE14,"#0.00%") &amp; " " &amp; "Setup Wire-Wiki for communication and documentation" &amp; " " &amp; IF(P14="","",TEXT(P14,"M/D-")) &amp; IF(Q14="","",TEXT(Q14,"M/D")) &amp; " "</f>
        <v xml:space="preserve">   100.00% Setup Wire-Wiki for communication and documentation 9/30-10/1 </v>
      </c>
      <c r="AG14" s="169"/>
      <c r="AH14" s="169"/>
      <c r="AI14" s="169"/>
      <c r="AJ14" s="169"/>
      <c r="AK14" s="169"/>
      <c r="AL14" s="169"/>
      <c r="AM14" s="169"/>
      <c r="AN14" s="169"/>
      <c r="AO14" s="169"/>
      <c r="AP14" s="169"/>
      <c r="AQ14" s="169"/>
      <c r="AR14" s="169"/>
      <c r="AS14" s="169"/>
    </row>
    <row r="15" spans="1:122" ht="12" customHeight="1" outlineLevel="3">
      <c r="A15" s="135"/>
      <c r="B15" s="135"/>
      <c r="C15" s="135">
        <v>4</v>
      </c>
      <c r="D15" s="165" t="s">
        <v>99</v>
      </c>
      <c r="E15" s="136"/>
      <c r="F15" s="219"/>
      <c r="G15" s="219"/>
      <c r="H15" s="219" t="s">
        <v>100</v>
      </c>
      <c r="I15" s="219"/>
      <c r="J15" s="219"/>
      <c r="K15" s="219"/>
      <c r="L15" s="136"/>
      <c r="M15" s="136"/>
      <c r="N15" s="136"/>
      <c r="O15" s="136"/>
      <c r="P15" s="137">
        <v>45573</v>
      </c>
      <c r="Q15" s="137">
        <v>45580</v>
      </c>
      <c r="R15" s="136"/>
      <c r="S15" s="138">
        <v>6</v>
      </c>
      <c r="T15" s="138">
        <v>6</v>
      </c>
      <c r="U15" s="138">
        <v>6</v>
      </c>
      <c r="V15" s="138">
        <v>6</v>
      </c>
      <c r="W15" s="137">
        <v>45573</v>
      </c>
      <c r="X15" s="137">
        <v>45580</v>
      </c>
      <c r="Y15" s="139">
        <v>6</v>
      </c>
      <c r="Z15" s="140">
        <v>6</v>
      </c>
      <c r="AA15" s="138"/>
      <c r="AB15" s="136"/>
      <c r="AC15" s="141"/>
      <c r="AD15" s="164">
        <v>1</v>
      </c>
      <c r="AE15" s="208">
        <v>1</v>
      </c>
      <c r="AF15" s="168"/>
      <c r="AG15" s="169"/>
      <c r="AH15" s="169" t="str">
        <f>"   " &amp; TEXT(AE15,"#0.00%") &amp; " " &amp; "Setup Wire-Work for work monitoring " &amp; " " &amp; IF(P15="","",TEXT(P15,"M/D-")) &amp; IF(Q15="","",TEXT(Q15,"M/D")) &amp; " "</f>
        <v xml:space="preserve">   100.00% Setup Wire-Work for work monitoring  10/8-10/15 </v>
      </c>
      <c r="AI15" s="169"/>
      <c r="AJ15" s="169"/>
      <c r="AK15" s="169"/>
      <c r="AL15" s="169"/>
      <c r="AM15" s="169"/>
      <c r="AN15" s="169"/>
      <c r="AO15" s="169"/>
      <c r="AP15" s="169"/>
      <c r="AQ15" s="169"/>
      <c r="AR15" s="169"/>
      <c r="AS15" s="169"/>
    </row>
    <row r="16" spans="1:122" ht="12" customHeight="1" outlineLevel="2">
      <c r="A16" s="135"/>
      <c r="B16" s="135"/>
      <c r="C16" s="135">
        <v>3</v>
      </c>
      <c r="D16" s="165" t="s">
        <v>101</v>
      </c>
      <c r="E16" s="136"/>
      <c r="F16" s="219"/>
      <c r="G16" s="219" t="s">
        <v>102</v>
      </c>
      <c r="H16" s="219"/>
      <c r="I16" s="219"/>
      <c r="J16" s="219"/>
      <c r="K16" s="136"/>
      <c r="L16" s="136"/>
      <c r="M16" s="136"/>
      <c r="N16" s="136"/>
      <c r="O16" s="136"/>
      <c r="P16" s="137">
        <v>45573</v>
      </c>
      <c r="Q16" s="137">
        <v>45580</v>
      </c>
      <c r="R16" s="136"/>
      <c r="S16" s="138">
        <v>6</v>
      </c>
      <c r="T16" s="138">
        <v>6</v>
      </c>
      <c r="U16" s="138">
        <v>6</v>
      </c>
      <c r="V16" s="138">
        <v>6</v>
      </c>
      <c r="W16" s="137">
        <v>45573</v>
      </c>
      <c r="X16" s="137">
        <v>45580</v>
      </c>
      <c r="Y16" s="139">
        <v>6</v>
      </c>
      <c r="Z16" s="140">
        <v>6</v>
      </c>
      <c r="AA16" s="138"/>
      <c r="AB16" s="136"/>
      <c r="AC16" s="141"/>
      <c r="AD16" s="164">
        <v>1</v>
      </c>
      <c r="AE16" s="208">
        <v>1</v>
      </c>
      <c r="AF16" s="168"/>
      <c r="AG16" s="169"/>
      <c r="AH16" s="169" t="str">
        <f>"   " &amp; TEXT(AE16,"#0.00%") &amp; " " &amp; "Master WBS " &amp; " " &amp; IF(P16="","",TEXT(P16,"M/D-")) &amp; IF(Q16="","",TEXT(Q16,"M/D")) &amp; " "</f>
        <v xml:space="preserve">   100.00% Master WBS  10/8-10/15 </v>
      </c>
      <c r="AI16" s="169"/>
      <c r="AJ16" s="169"/>
      <c r="AK16" s="169"/>
      <c r="AL16" s="169"/>
      <c r="AM16" s="169"/>
      <c r="AN16" s="169"/>
      <c r="AO16" s="169"/>
      <c r="AP16" s="169"/>
      <c r="AQ16" s="169"/>
      <c r="AR16" s="169"/>
      <c r="AS16" s="169"/>
    </row>
    <row r="17" spans="1:45" ht="12" customHeight="1" outlineLevel="2">
      <c r="A17" s="135"/>
      <c r="B17" s="135" t="s">
        <v>80</v>
      </c>
      <c r="C17" s="135">
        <v>3</v>
      </c>
      <c r="D17" s="165" t="s">
        <v>103</v>
      </c>
      <c r="E17" s="136"/>
      <c r="F17" s="212"/>
      <c r="G17" s="212" t="s">
        <v>104</v>
      </c>
      <c r="H17" s="212"/>
      <c r="I17" s="212"/>
      <c r="J17" s="212"/>
      <c r="K17" s="212"/>
      <c r="L17" s="136"/>
      <c r="M17" s="136"/>
      <c r="N17" s="136"/>
      <c r="O17" s="136"/>
      <c r="P17" s="137">
        <v>45586</v>
      </c>
      <c r="Q17" s="137">
        <v>45586</v>
      </c>
      <c r="R17" s="136"/>
      <c r="S17" s="138">
        <v>2</v>
      </c>
      <c r="T17" s="138">
        <v>2</v>
      </c>
      <c r="U17" s="138">
        <v>1</v>
      </c>
      <c r="V17" s="138">
        <v>1</v>
      </c>
      <c r="W17" s="137"/>
      <c r="X17" s="137"/>
      <c r="Y17" s="139">
        <v>0</v>
      </c>
      <c r="Z17" s="140">
        <v>0</v>
      </c>
      <c r="AA17" s="138"/>
      <c r="AB17" s="136"/>
      <c r="AC17" s="141"/>
      <c r="AD17" s="164">
        <v>1</v>
      </c>
      <c r="AE17" s="210">
        <v>0</v>
      </c>
      <c r="AF17" s="168"/>
      <c r="AG17" s="169"/>
      <c r="AH17" s="169"/>
      <c r="AI17" s="169" t="str">
        <f>" " &amp; TEXT(AE17,"#0.00%") &amp; " " &amp; "Kick-off meeting" &amp; " " &amp; IF(P17="","",TEXT(P17,"M/D-")) &amp; IF(Q17="","",TEXT(Q17,"M/D")) &amp; " "</f>
        <v xml:space="preserve"> 0.00% Kick-off meeting 10/21-10/21 </v>
      </c>
      <c r="AJ17" s="169"/>
      <c r="AK17" s="169"/>
      <c r="AL17" s="169"/>
      <c r="AM17" s="169"/>
      <c r="AN17" s="169"/>
      <c r="AO17" s="169"/>
      <c r="AP17" s="169"/>
      <c r="AQ17" s="169"/>
      <c r="AR17" s="169"/>
      <c r="AS17" s="169"/>
    </row>
    <row r="18" spans="1:45" ht="12" customHeight="1" outlineLevel="3">
      <c r="A18" s="135"/>
      <c r="B18" s="135"/>
      <c r="C18" s="135">
        <v>4</v>
      </c>
      <c r="D18" s="165" t="s">
        <v>105</v>
      </c>
      <c r="E18" s="136"/>
      <c r="F18" s="219"/>
      <c r="G18" s="219"/>
      <c r="H18" s="219" t="s">
        <v>104</v>
      </c>
      <c r="I18" s="219"/>
      <c r="J18" s="219"/>
      <c r="K18" s="219"/>
      <c r="L18" s="136"/>
      <c r="M18" s="136"/>
      <c r="N18" s="136"/>
      <c r="O18" s="136"/>
      <c r="P18" s="137">
        <v>45586</v>
      </c>
      <c r="Q18" s="137">
        <v>45586</v>
      </c>
      <c r="R18" s="136"/>
      <c r="S18" s="138">
        <v>1</v>
      </c>
      <c r="T18" s="138">
        <v>1</v>
      </c>
      <c r="U18" s="138">
        <v>1</v>
      </c>
      <c r="V18" s="138">
        <v>1</v>
      </c>
      <c r="W18" s="137">
        <v>45586</v>
      </c>
      <c r="X18" s="137">
        <v>45586</v>
      </c>
      <c r="Y18" s="139">
        <v>1</v>
      </c>
      <c r="Z18" s="140">
        <v>1</v>
      </c>
      <c r="AA18" s="138"/>
      <c r="AB18" s="136"/>
      <c r="AC18" s="141"/>
      <c r="AD18" s="164">
        <v>1</v>
      </c>
      <c r="AE18" s="209">
        <v>0</v>
      </c>
      <c r="AF18" s="168"/>
      <c r="AG18" s="169"/>
      <c r="AH18" s="169"/>
      <c r="AI18" s="169" t="str">
        <f>" " &amp; TEXT(AE18,"#0.00%") &amp; " " &amp; "Kick-off meeting" &amp; " " &amp; IF(P18="","",TEXT(P18,"M/D-")) &amp; IF(Q18="","",TEXT(Q18,"M/D")) &amp; " "</f>
        <v xml:space="preserve"> 0.00% Kick-off meeting 10/21-10/21 </v>
      </c>
      <c r="AJ18" s="169"/>
      <c r="AK18" s="169"/>
      <c r="AL18" s="169"/>
      <c r="AM18" s="169"/>
      <c r="AN18" s="169"/>
      <c r="AO18" s="169"/>
      <c r="AP18" s="169"/>
      <c r="AQ18" s="169"/>
      <c r="AR18" s="169"/>
      <c r="AS18" s="169"/>
    </row>
    <row r="19" spans="1:45" ht="12" customHeight="1" outlineLevel="3">
      <c r="A19" s="135"/>
      <c r="B19" s="135"/>
      <c r="C19" s="135">
        <v>4</v>
      </c>
      <c r="D19" s="165" t="s">
        <v>106</v>
      </c>
      <c r="E19" s="136"/>
      <c r="F19" s="219"/>
      <c r="G19" s="219"/>
      <c r="H19" s="219" t="s">
        <v>107</v>
      </c>
      <c r="I19" s="219"/>
      <c r="J19" s="219"/>
      <c r="K19" s="219"/>
      <c r="L19" s="136"/>
      <c r="M19" s="136"/>
      <c r="N19" s="136"/>
      <c r="O19" s="136"/>
      <c r="P19" s="137">
        <v>45586</v>
      </c>
      <c r="Q19" s="137">
        <v>45586</v>
      </c>
      <c r="R19" s="136"/>
      <c r="S19" s="138">
        <v>1</v>
      </c>
      <c r="T19" s="138">
        <v>1</v>
      </c>
      <c r="U19" s="138">
        <v>1</v>
      </c>
      <c r="V19" s="138">
        <v>1</v>
      </c>
      <c r="W19" s="137">
        <v>45586</v>
      </c>
      <c r="X19" s="137">
        <v>45586</v>
      </c>
      <c r="Y19" s="139">
        <v>1</v>
      </c>
      <c r="Z19" s="140">
        <v>1</v>
      </c>
      <c r="AA19" s="138"/>
      <c r="AB19" s="136"/>
      <c r="AC19" s="141"/>
      <c r="AD19" s="164">
        <v>1</v>
      </c>
      <c r="AE19" s="209">
        <v>0</v>
      </c>
      <c r="AF19" s="168"/>
      <c r="AG19" s="169"/>
      <c r="AH19" s="169"/>
      <c r="AI19" s="169" t="str">
        <f>" " &amp; TEXT(AE19,"#0.00%") &amp; " " &amp; "Kick-off meeting notes" &amp; " " &amp; IF(P19="","",TEXT(P19,"M/D-")) &amp; IF(Q19="","",TEXT(Q19,"M/D")) &amp; " "</f>
        <v xml:space="preserve"> 0.00% Kick-off meeting notes 10/21-10/21 </v>
      </c>
      <c r="AJ19" s="169"/>
      <c r="AK19" s="169"/>
      <c r="AL19" s="169"/>
      <c r="AM19" s="169"/>
      <c r="AN19" s="169"/>
      <c r="AO19" s="169"/>
      <c r="AP19" s="169"/>
      <c r="AQ19" s="169"/>
      <c r="AR19" s="169"/>
      <c r="AS19" s="169"/>
    </row>
    <row r="20" spans="1:45" ht="12" customHeight="1" outlineLevel="1">
      <c r="A20" s="135"/>
      <c r="B20" s="135" t="s">
        <v>80</v>
      </c>
      <c r="C20" s="135">
        <v>2</v>
      </c>
      <c r="D20" s="165" t="s">
        <v>108</v>
      </c>
      <c r="E20" s="136"/>
      <c r="F20" s="212" t="s">
        <v>109</v>
      </c>
      <c r="G20" s="212"/>
      <c r="H20" s="212"/>
      <c r="I20" s="212"/>
      <c r="J20" s="212"/>
      <c r="K20" s="212"/>
      <c r="L20" s="136"/>
      <c r="M20" s="136"/>
      <c r="N20" s="136"/>
      <c r="O20" s="136"/>
      <c r="P20" s="137">
        <v>45566</v>
      </c>
      <c r="Q20" s="137">
        <v>45583</v>
      </c>
      <c r="R20" s="136"/>
      <c r="S20" s="138">
        <v>15</v>
      </c>
      <c r="T20" s="138">
        <v>15</v>
      </c>
      <c r="U20" s="138">
        <v>14</v>
      </c>
      <c r="V20" s="138">
        <v>14</v>
      </c>
      <c r="W20" s="137"/>
      <c r="X20" s="137"/>
      <c r="Y20" s="139">
        <v>0</v>
      </c>
      <c r="Z20" s="140">
        <v>0</v>
      </c>
      <c r="AA20" s="138"/>
      <c r="AB20" s="136"/>
      <c r="AC20" s="141"/>
      <c r="AD20" s="164">
        <v>1</v>
      </c>
      <c r="AE20" s="210">
        <v>0</v>
      </c>
      <c r="AF20" s="168" t="str">
        <f>"  " &amp; TEXT(AE20,"#0.00%") &amp; " " &amp; "ANALYSIS" &amp; " " &amp; IF(P20="","",TEXT(P20,"M/D-")) &amp; IF(Q20="","",TEXT(Q20,"M/D")) &amp; " "</f>
        <v xml:space="preserve">  0.00% ANALYSIS 10/1-10/18 </v>
      </c>
      <c r="AG20" s="169"/>
      <c r="AH20" s="169"/>
      <c r="AI20" s="169"/>
      <c r="AJ20" s="169"/>
      <c r="AK20" s="169"/>
      <c r="AL20" s="169"/>
      <c r="AM20" s="169"/>
      <c r="AN20" s="169"/>
      <c r="AO20" s="169"/>
      <c r="AP20" s="169"/>
      <c r="AQ20" s="169"/>
      <c r="AR20" s="169"/>
      <c r="AS20" s="169"/>
    </row>
    <row r="21" spans="1:45" ht="12" customHeight="1" outlineLevel="2">
      <c r="A21" s="135"/>
      <c r="B21" s="135" t="s">
        <v>80</v>
      </c>
      <c r="C21" s="135">
        <v>3</v>
      </c>
      <c r="D21" s="165" t="s">
        <v>110</v>
      </c>
      <c r="E21" s="136"/>
      <c r="F21" s="212"/>
      <c r="G21" s="212" t="s">
        <v>1692</v>
      </c>
      <c r="H21" s="212"/>
      <c r="I21" s="212"/>
      <c r="J21" s="212"/>
      <c r="K21" s="212"/>
      <c r="L21" s="136"/>
      <c r="M21" s="136"/>
      <c r="N21" s="136"/>
      <c r="O21" s="136"/>
      <c r="P21" s="137">
        <v>45566</v>
      </c>
      <c r="Q21" s="137">
        <v>45567</v>
      </c>
      <c r="R21" s="136"/>
      <c r="S21" s="138">
        <v>2</v>
      </c>
      <c r="T21" s="138">
        <v>2</v>
      </c>
      <c r="U21" s="138">
        <v>2</v>
      </c>
      <c r="V21" s="138">
        <v>2</v>
      </c>
      <c r="W21" s="137"/>
      <c r="X21" s="137"/>
      <c r="Y21" s="139">
        <v>0</v>
      </c>
      <c r="Z21" s="140">
        <v>0</v>
      </c>
      <c r="AA21" s="138"/>
      <c r="AB21" s="136"/>
      <c r="AC21" s="141"/>
      <c r="AD21" s="164">
        <v>1</v>
      </c>
      <c r="AE21" s="210">
        <v>0</v>
      </c>
      <c r="AF21" s="168" t="str">
        <f>"  " &amp; TEXT(AE21,"#0.00%") &amp; " " &amp; "Current CVM system (AS-IS) analysis" &amp; " " &amp; IF(P21="","",TEXT(P21,"M/D-")) &amp; IF(Q21="","",TEXT(Q21,"M/D")) &amp; " "</f>
        <v xml:space="preserve">  0.00% Current CVM system (AS-IS) analysis 10/1-10/2 </v>
      </c>
      <c r="AG21" s="169"/>
      <c r="AH21" s="169"/>
      <c r="AI21" s="169"/>
      <c r="AJ21" s="169"/>
      <c r="AK21" s="169"/>
      <c r="AL21" s="169"/>
      <c r="AM21" s="169"/>
      <c r="AN21" s="169"/>
      <c r="AO21" s="169"/>
      <c r="AP21" s="169"/>
      <c r="AQ21" s="169"/>
      <c r="AR21" s="169"/>
      <c r="AS21" s="169"/>
    </row>
    <row r="22" spans="1:45" ht="12" customHeight="1" outlineLevel="3">
      <c r="A22" s="135"/>
      <c r="B22" s="135"/>
      <c r="C22" s="135">
        <v>4</v>
      </c>
      <c r="D22" s="165" t="s">
        <v>111</v>
      </c>
      <c r="E22" s="136"/>
      <c r="F22" s="219"/>
      <c r="G22" s="219"/>
      <c r="H22" s="219" t="s">
        <v>113</v>
      </c>
      <c r="I22" s="224"/>
      <c r="J22" s="219"/>
      <c r="K22" s="219"/>
      <c r="L22" s="136"/>
      <c r="M22" s="136"/>
      <c r="N22" s="136"/>
      <c r="O22" s="136"/>
      <c r="P22" s="137">
        <v>45566</v>
      </c>
      <c r="Q22" s="137">
        <v>45566</v>
      </c>
      <c r="R22" s="136"/>
      <c r="S22" s="138">
        <v>1</v>
      </c>
      <c r="T22" s="138">
        <v>1</v>
      </c>
      <c r="U22" s="138">
        <v>1</v>
      </c>
      <c r="V22" s="138">
        <v>1</v>
      </c>
      <c r="W22" s="137">
        <v>45566</v>
      </c>
      <c r="X22" s="137">
        <v>45566</v>
      </c>
      <c r="Y22" s="139">
        <v>1</v>
      </c>
      <c r="Z22" s="140">
        <v>1</v>
      </c>
      <c r="AA22" s="138"/>
      <c r="AB22" s="136"/>
      <c r="AC22" s="141"/>
      <c r="AD22" s="164">
        <v>1</v>
      </c>
      <c r="AE22" s="209">
        <v>0</v>
      </c>
      <c r="AF22" s="168" t="str">
        <f>"  " &amp; TEXT(AE22,"#0.00%") &amp; " " &amp; "Design document Analyst" &amp; " " &amp; IF(P22="","",TEXT(P22,"M/D-")) &amp; IF(Q22="","",TEXT(Q22,"M/D")) &amp; " "</f>
        <v xml:space="preserve">  0.00% Design document Analyst 10/1-10/1 </v>
      </c>
      <c r="AG22" s="169"/>
      <c r="AH22" s="169"/>
      <c r="AI22" s="169"/>
      <c r="AJ22" s="169"/>
      <c r="AK22" s="169"/>
      <c r="AL22" s="169"/>
      <c r="AM22" s="169"/>
      <c r="AN22" s="169"/>
      <c r="AO22" s="169"/>
      <c r="AP22" s="169"/>
      <c r="AQ22" s="169"/>
      <c r="AR22" s="169"/>
      <c r="AS22" s="169"/>
    </row>
    <row r="23" spans="1:45" ht="12" customHeight="1" outlineLevel="3">
      <c r="A23" s="135"/>
      <c r="B23" s="135"/>
      <c r="C23" s="135">
        <v>4</v>
      </c>
      <c r="D23" s="165" t="s">
        <v>112</v>
      </c>
      <c r="E23" s="136"/>
      <c r="F23" s="219"/>
      <c r="G23" s="219"/>
      <c r="H23" s="219" t="s">
        <v>1693</v>
      </c>
      <c r="I23" s="224"/>
      <c r="J23" s="219"/>
      <c r="K23" s="219"/>
      <c r="L23" s="136"/>
      <c r="M23" s="136"/>
      <c r="N23" s="136"/>
      <c r="O23" s="136"/>
      <c r="P23" s="137">
        <v>45567</v>
      </c>
      <c r="Q23" s="137">
        <v>45567</v>
      </c>
      <c r="R23" s="136"/>
      <c r="S23" s="138">
        <v>1</v>
      </c>
      <c r="T23" s="138">
        <v>1</v>
      </c>
      <c r="U23" s="138">
        <v>1</v>
      </c>
      <c r="V23" s="138">
        <v>1</v>
      </c>
      <c r="W23" s="137">
        <v>45567</v>
      </c>
      <c r="X23" s="137">
        <v>45567</v>
      </c>
      <c r="Y23" s="139">
        <v>1</v>
      </c>
      <c r="Z23" s="140">
        <v>1</v>
      </c>
      <c r="AA23" s="138"/>
      <c r="AB23" s="136"/>
      <c r="AC23" s="141"/>
      <c r="AD23" s="164">
        <v>1</v>
      </c>
      <c r="AE23" s="209">
        <v>0</v>
      </c>
      <c r="AF23" s="168" t="str">
        <f>"   " &amp; TEXT(AE23,"#0.00%") &amp; " " &amp; "CVM System inspection (functions, flow..)" &amp; " " &amp; IF(P23="","",TEXT(P23,"M/D-")) &amp; IF(Q23="","",TEXT(Q23,"M/D")) &amp; " "</f>
        <v xml:space="preserve">   0.00% CVM System inspection (functions, flow..) 10/2-10/2 </v>
      </c>
      <c r="AG23" s="169"/>
      <c r="AH23" s="169"/>
      <c r="AI23" s="169"/>
      <c r="AJ23" s="169"/>
      <c r="AK23" s="169"/>
      <c r="AL23" s="169"/>
      <c r="AM23" s="169"/>
      <c r="AN23" s="169"/>
      <c r="AO23" s="169"/>
      <c r="AP23" s="169"/>
      <c r="AQ23" s="169"/>
      <c r="AR23" s="169"/>
      <c r="AS23" s="169"/>
    </row>
    <row r="24" spans="1:45" ht="12" customHeight="1" outlineLevel="2">
      <c r="A24" s="135"/>
      <c r="B24" s="135" t="s">
        <v>80</v>
      </c>
      <c r="C24" s="135">
        <v>3</v>
      </c>
      <c r="D24" s="165" t="s">
        <v>114</v>
      </c>
      <c r="E24" s="136"/>
      <c r="F24" s="212"/>
      <c r="G24" s="212" t="s">
        <v>115</v>
      </c>
      <c r="H24" s="212"/>
      <c r="I24" s="212"/>
      <c r="J24" s="212"/>
      <c r="K24" s="212"/>
      <c r="L24" s="136"/>
      <c r="M24" s="136"/>
      <c r="N24" s="136"/>
      <c r="O24" s="136"/>
      <c r="P24" s="137">
        <v>45566</v>
      </c>
      <c r="Q24" s="137">
        <v>45583</v>
      </c>
      <c r="R24" s="136"/>
      <c r="S24" s="138">
        <v>13</v>
      </c>
      <c r="T24" s="138">
        <v>13</v>
      </c>
      <c r="U24" s="138">
        <v>14</v>
      </c>
      <c r="V24" s="138">
        <v>14</v>
      </c>
      <c r="W24" s="137"/>
      <c r="X24" s="137"/>
      <c r="Y24" s="139">
        <v>0</v>
      </c>
      <c r="Z24" s="140">
        <v>0</v>
      </c>
      <c r="AA24" s="138"/>
      <c r="AB24" s="136"/>
      <c r="AC24" s="141"/>
      <c r="AD24" s="164">
        <v>1</v>
      </c>
      <c r="AE24" s="210">
        <v>0</v>
      </c>
      <c r="AF24" s="168" t="str">
        <f>"  " &amp; TEXT(AE24,"#0.00%") &amp; " " &amp; "Requirement analysis (TO-BE)" &amp; " " &amp; IF(P24="","",TEXT(P24,"M/D-")) &amp; IF(Q24="","",TEXT(Q24,"M/D")) &amp; " "</f>
        <v xml:space="preserve">  0.00% Requirement analysis (TO-BE) 10/1-10/18 </v>
      </c>
      <c r="AG24" s="169"/>
      <c r="AH24" s="169"/>
      <c r="AI24" s="169"/>
      <c r="AJ24" s="169"/>
      <c r="AK24" s="169"/>
      <c r="AL24" s="169"/>
      <c r="AM24" s="169"/>
      <c r="AN24" s="169"/>
      <c r="AO24" s="169"/>
      <c r="AP24" s="169"/>
      <c r="AQ24" s="169"/>
      <c r="AR24" s="169"/>
      <c r="AS24" s="169"/>
    </row>
    <row r="25" spans="1:45" ht="12" customHeight="1" outlineLevel="3">
      <c r="A25" s="135"/>
      <c r="B25" s="135"/>
      <c r="C25" s="135">
        <v>4</v>
      </c>
      <c r="D25" s="165" t="s">
        <v>116</v>
      </c>
      <c r="E25" s="136"/>
      <c r="F25" s="219"/>
      <c r="G25" s="219"/>
      <c r="H25" s="219" t="s">
        <v>117</v>
      </c>
      <c r="I25" s="219"/>
      <c r="J25" s="219"/>
      <c r="K25" s="219"/>
      <c r="L25" s="136"/>
      <c r="M25" s="136"/>
      <c r="N25" s="136"/>
      <c r="O25" s="136"/>
      <c r="P25" s="137">
        <v>45566</v>
      </c>
      <c r="Q25" s="137">
        <v>45566</v>
      </c>
      <c r="R25" s="136"/>
      <c r="S25" s="138">
        <v>1</v>
      </c>
      <c r="T25" s="138">
        <v>1</v>
      </c>
      <c r="U25" s="138">
        <v>1</v>
      </c>
      <c r="V25" s="138">
        <v>1</v>
      </c>
      <c r="W25" s="137">
        <v>45566</v>
      </c>
      <c r="X25" s="137">
        <v>45566</v>
      </c>
      <c r="Y25" s="139">
        <v>1</v>
      </c>
      <c r="Z25" s="140">
        <v>1</v>
      </c>
      <c r="AA25" s="138"/>
      <c r="AB25" s="136"/>
      <c r="AC25" s="141"/>
      <c r="AD25" s="164">
        <v>1</v>
      </c>
      <c r="AE25" s="209">
        <v>0</v>
      </c>
      <c r="AF25" s="168" t="str">
        <f>"  " &amp; TEXT(AE25,"#0.00%") &amp; " " &amp; "Requirement Analyst" &amp; " " &amp; IF(P25="","",TEXT(P25,"M/D-")) &amp; IF(Q25="","",TEXT(Q25,"M/D")) &amp; " "</f>
        <v xml:space="preserve">  0.00% Requirement Analyst 10/1-10/1 </v>
      </c>
      <c r="AG25" s="169"/>
      <c r="AH25" s="169"/>
      <c r="AI25" s="169"/>
      <c r="AJ25" s="169"/>
      <c r="AK25" s="169"/>
      <c r="AL25" s="169"/>
      <c r="AM25" s="169"/>
      <c r="AN25" s="169"/>
      <c r="AO25" s="169"/>
      <c r="AP25" s="169"/>
      <c r="AQ25" s="169"/>
      <c r="AR25" s="169"/>
      <c r="AS25" s="169"/>
    </row>
    <row r="26" spans="1:45" ht="12" customHeight="1" outlineLevel="3">
      <c r="A26" s="135"/>
      <c r="B26" s="135"/>
      <c r="C26" s="135">
        <v>4</v>
      </c>
      <c r="D26" s="165" t="s">
        <v>118</v>
      </c>
      <c r="E26" s="136"/>
      <c r="F26" s="219"/>
      <c r="G26" s="219"/>
      <c r="H26" s="219" t="s">
        <v>119</v>
      </c>
      <c r="I26" s="219"/>
      <c r="J26" s="219"/>
      <c r="K26" s="219"/>
      <c r="L26" s="136"/>
      <c r="M26" s="136"/>
      <c r="N26" s="136"/>
      <c r="O26" s="136"/>
      <c r="P26" s="137">
        <v>45567</v>
      </c>
      <c r="Q26" s="137">
        <v>45569</v>
      </c>
      <c r="R26" s="136"/>
      <c r="S26" s="138">
        <v>3</v>
      </c>
      <c r="T26" s="138">
        <v>3</v>
      </c>
      <c r="U26" s="138">
        <v>3</v>
      </c>
      <c r="V26" s="138">
        <v>3</v>
      </c>
      <c r="W26" s="137">
        <v>45567</v>
      </c>
      <c r="X26" s="137">
        <v>45569</v>
      </c>
      <c r="Y26" s="139">
        <v>3</v>
      </c>
      <c r="Z26" s="140">
        <v>3</v>
      </c>
      <c r="AA26" s="138"/>
      <c r="AB26" s="136"/>
      <c r="AC26" s="141"/>
      <c r="AD26" s="164">
        <v>1</v>
      </c>
      <c r="AE26" s="209">
        <v>0</v>
      </c>
      <c r="AF26" s="168" t="str">
        <f>"   " &amp; TEXT(AE26,"#0.00%") &amp; " " &amp; "High level requirement" &amp; " " &amp; IF(P26="","",TEXT(P26,"M/D-")) &amp; IF(Q26="","",TEXT(Q26,"M/D")) &amp; " "</f>
        <v xml:space="preserve">   0.00% High level requirement 10/2-10/4 </v>
      </c>
      <c r="AG26" s="169"/>
      <c r="AH26" s="169"/>
      <c r="AI26" s="169"/>
      <c r="AJ26" s="169"/>
      <c r="AK26" s="169"/>
      <c r="AL26" s="169"/>
      <c r="AM26" s="169"/>
      <c r="AN26" s="169"/>
      <c r="AO26" s="169"/>
      <c r="AP26" s="169"/>
      <c r="AQ26" s="169"/>
      <c r="AR26" s="169"/>
      <c r="AS26" s="169"/>
    </row>
    <row r="27" spans="1:45" ht="12" customHeight="1" outlineLevel="3">
      <c r="A27" s="135"/>
      <c r="B27" s="135"/>
      <c r="C27" s="135">
        <v>4</v>
      </c>
      <c r="D27" s="165" t="s">
        <v>120</v>
      </c>
      <c r="E27" s="136"/>
      <c r="F27" s="219"/>
      <c r="G27" s="219"/>
      <c r="H27" s="219" t="s">
        <v>58</v>
      </c>
      <c r="I27" s="219"/>
      <c r="J27" s="219"/>
      <c r="K27" s="219"/>
      <c r="L27" s="136"/>
      <c r="M27" s="136"/>
      <c r="N27" s="136"/>
      <c r="O27" s="136"/>
      <c r="P27" s="137">
        <v>45573</v>
      </c>
      <c r="Q27" s="137">
        <v>45583</v>
      </c>
      <c r="R27" s="136"/>
      <c r="S27" s="138">
        <v>9</v>
      </c>
      <c r="T27" s="138">
        <v>9</v>
      </c>
      <c r="U27" s="138">
        <v>9</v>
      </c>
      <c r="V27" s="138">
        <v>9</v>
      </c>
      <c r="W27" s="137">
        <v>45573</v>
      </c>
      <c r="X27" s="137">
        <v>45575</v>
      </c>
      <c r="Y27" s="139">
        <v>3</v>
      </c>
      <c r="Z27" s="140">
        <v>3</v>
      </c>
      <c r="AA27" s="138"/>
      <c r="AB27" s="136"/>
      <c r="AC27" s="141"/>
      <c r="AD27" s="164">
        <v>1</v>
      </c>
      <c r="AE27" s="209">
        <v>0</v>
      </c>
      <c r="AF27" s="168"/>
      <c r="AG27" s="169" t="str">
        <f>"  " &amp; TEXT(AE27,"#0.00%") &amp; " " &amp; "WBS" &amp; " " &amp; IF(P27="","",TEXT(P27,"M/D-")) &amp; IF(Q27="","",TEXT(Q27,"M/D")) &amp; " "</f>
        <v xml:space="preserve">  0.00% WBS 10/8-10/18 </v>
      </c>
      <c r="AH27" s="169"/>
      <c r="AI27" s="169"/>
      <c r="AJ27" s="169"/>
      <c r="AK27" s="169"/>
      <c r="AL27" s="169"/>
      <c r="AM27" s="169"/>
      <c r="AN27" s="169"/>
      <c r="AO27" s="169"/>
      <c r="AP27" s="169"/>
      <c r="AQ27" s="169"/>
      <c r="AR27" s="169"/>
      <c r="AS27" s="169"/>
    </row>
    <row r="28" spans="1:45" ht="12" customHeight="1" outlineLevel="1">
      <c r="A28" s="135"/>
      <c r="B28" s="135" t="s">
        <v>80</v>
      </c>
      <c r="C28" s="135">
        <v>2</v>
      </c>
      <c r="D28" s="165" t="s">
        <v>121</v>
      </c>
      <c r="E28" s="136"/>
      <c r="F28" s="212" t="s">
        <v>122</v>
      </c>
      <c r="G28" s="212"/>
      <c r="H28" s="212"/>
      <c r="I28" s="212"/>
      <c r="J28" s="212"/>
      <c r="K28" s="212"/>
      <c r="L28" s="136"/>
      <c r="M28" s="136"/>
      <c r="N28" s="136"/>
      <c r="O28" s="136"/>
      <c r="P28" s="137">
        <v>45573</v>
      </c>
      <c r="Q28" s="137">
        <v>45590</v>
      </c>
      <c r="R28" s="136"/>
      <c r="S28" s="138">
        <v>41</v>
      </c>
      <c r="T28" s="138">
        <v>41</v>
      </c>
      <c r="U28" s="138">
        <v>14</v>
      </c>
      <c r="V28" s="138">
        <v>14</v>
      </c>
      <c r="W28" s="137"/>
      <c r="X28" s="137"/>
      <c r="Y28" s="139">
        <v>0</v>
      </c>
      <c r="Z28" s="140">
        <v>0</v>
      </c>
      <c r="AA28" s="138"/>
      <c r="AB28" s="136"/>
      <c r="AC28" s="141"/>
      <c r="AD28" s="164">
        <v>1</v>
      </c>
      <c r="AE28" s="210">
        <v>0</v>
      </c>
      <c r="AF28" s="168"/>
      <c r="AG28" s="169" t="str">
        <f>"  " &amp; TEXT(AE28,"#0.00%") &amp; " " &amp; "BASIC DESIGN" &amp; " " &amp; IF(P28="","",TEXT(P28,"M/D-")) &amp; IF(Q28="","",TEXT(Q28,"M/D")) &amp; " "</f>
        <v xml:space="preserve">  0.00% BASIC DESIGN 10/8-10/25 </v>
      </c>
      <c r="AH28" s="169"/>
      <c r="AI28" s="169"/>
      <c r="AJ28" s="169"/>
      <c r="AK28" s="169"/>
      <c r="AL28" s="169"/>
      <c r="AM28" s="169"/>
      <c r="AN28" s="169"/>
      <c r="AO28" s="169"/>
      <c r="AP28" s="169"/>
      <c r="AQ28" s="169"/>
      <c r="AR28" s="169"/>
      <c r="AS28" s="169"/>
    </row>
    <row r="29" spans="1:45" ht="12" customHeight="1" outlineLevel="2">
      <c r="A29" s="135"/>
      <c r="B29" s="135" t="s">
        <v>80</v>
      </c>
      <c r="C29" s="135">
        <v>3</v>
      </c>
      <c r="D29" s="165" t="s">
        <v>123</v>
      </c>
      <c r="E29" s="136"/>
      <c r="F29" s="212"/>
      <c r="G29" s="212" t="s">
        <v>124</v>
      </c>
      <c r="H29" s="212"/>
      <c r="I29" s="212"/>
      <c r="J29" s="212"/>
      <c r="K29" s="212"/>
      <c r="L29" s="136"/>
      <c r="M29" s="136"/>
      <c r="N29" s="136"/>
      <c r="O29" s="136"/>
      <c r="P29" s="137">
        <v>45573</v>
      </c>
      <c r="Q29" s="137">
        <v>45582</v>
      </c>
      <c r="R29" s="136"/>
      <c r="S29" s="138">
        <v>9</v>
      </c>
      <c r="T29" s="138">
        <v>9</v>
      </c>
      <c r="U29" s="138">
        <v>8</v>
      </c>
      <c r="V29" s="138">
        <v>8</v>
      </c>
      <c r="W29" s="137"/>
      <c r="X29" s="137"/>
      <c r="Y29" s="139">
        <v>0</v>
      </c>
      <c r="Z29" s="140">
        <v>0</v>
      </c>
      <c r="AA29" s="138"/>
      <c r="AB29" s="136"/>
      <c r="AC29" s="141"/>
      <c r="AD29" s="164">
        <v>1</v>
      </c>
      <c r="AE29" s="210">
        <v>0</v>
      </c>
      <c r="AF29" s="168"/>
      <c r="AG29" s="169" t="str">
        <f>"  " &amp; TEXT(AE29,"#0.00%") &amp; " " &amp; "UIUX high level design " &amp; " " &amp; IF(P29="","",TEXT(P29,"M/D-")) &amp; IF(Q29="","",TEXT(Q29,"M/D")) &amp; " "</f>
        <v xml:space="preserve">  0.00% UIUX high level design  10/8-10/17 </v>
      </c>
      <c r="AH29" s="169"/>
      <c r="AI29" s="169"/>
      <c r="AJ29" s="169"/>
      <c r="AK29" s="169"/>
      <c r="AL29" s="169"/>
      <c r="AM29" s="169"/>
      <c r="AN29" s="169"/>
      <c r="AO29" s="169"/>
      <c r="AP29" s="169"/>
      <c r="AQ29" s="169"/>
      <c r="AR29" s="169"/>
      <c r="AS29" s="169"/>
    </row>
    <row r="30" spans="1:45" ht="12" customHeight="1" outlineLevel="3">
      <c r="A30" s="135"/>
      <c r="B30" s="135"/>
      <c r="C30" s="135">
        <v>4</v>
      </c>
      <c r="D30" s="165" t="s">
        <v>125</v>
      </c>
      <c r="E30" s="136"/>
      <c r="F30" s="248"/>
      <c r="G30" s="248"/>
      <c r="H30" s="222" t="s">
        <v>126</v>
      </c>
      <c r="I30" s="248"/>
      <c r="J30" s="248"/>
      <c r="K30" s="248"/>
      <c r="L30" s="136"/>
      <c r="M30" s="136"/>
      <c r="N30" s="136"/>
      <c r="O30" s="136"/>
      <c r="P30" s="137">
        <v>45573</v>
      </c>
      <c r="Q30" s="137">
        <v>45576</v>
      </c>
      <c r="R30" s="136"/>
      <c r="S30" s="138">
        <v>4</v>
      </c>
      <c r="T30" s="138">
        <v>4</v>
      </c>
      <c r="U30" s="138">
        <v>4</v>
      </c>
      <c r="V30" s="138">
        <v>4</v>
      </c>
      <c r="W30" s="137">
        <v>45573</v>
      </c>
      <c r="X30" s="137">
        <v>45576</v>
      </c>
      <c r="Y30" s="139">
        <v>4</v>
      </c>
      <c r="Z30" s="140">
        <v>4</v>
      </c>
      <c r="AA30" s="138"/>
      <c r="AB30" s="136"/>
      <c r="AC30" s="141"/>
      <c r="AD30" s="249">
        <v>1</v>
      </c>
      <c r="AE30" s="209">
        <v>0</v>
      </c>
      <c r="AF30" s="168"/>
      <c r="AG30" s="169" t="str">
        <f>"  " &amp; TEXT(AE30,"#0.00%") &amp; " " &amp; "Writing a screen definition " &amp; " " &amp; IF(P30="","",TEXT(P30,"M/D-")) &amp; IF(Q30="","",TEXT(Q30,"M/D")) &amp; " "</f>
        <v xml:space="preserve">  0.00% Writing a screen definition  10/8-10/11 </v>
      </c>
      <c r="AH30" s="169"/>
      <c r="AI30" s="169"/>
      <c r="AJ30" s="169"/>
      <c r="AK30" s="169"/>
      <c r="AL30" s="169"/>
      <c r="AM30" s="169"/>
      <c r="AN30" s="169"/>
      <c r="AO30" s="169"/>
      <c r="AP30" s="169"/>
      <c r="AQ30" s="169"/>
      <c r="AR30" s="169"/>
      <c r="AS30" s="169"/>
    </row>
    <row r="31" spans="1:45" ht="12" customHeight="1" outlineLevel="3">
      <c r="A31" s="135"/>
      <c r="B31" s="135"/>
      <c r="C31" s="135">
        <v>4</v>
      </c>
      <c r="D31" s="165" t="s">
        <v>127</v>
      </c>
      <c r="E31" s="136"/>
      <c r="F31" s="214"/>
      <c r="G31" s="214"/>
      <c r="H31" s="214" t="s">
        <v>128</v>
      </c>
      <c r="I31" s="214"/>
      <c r="J31" s="214"/>
      <c r="K31" s="214"/>
      <c r="L31" s="136"/>
      <c r="M31" s="136"/>
      <c r="N31" s="136"/>
      <c r="O31" s="136"/>
      <c r="P31" s="137">
        <v>45576</v>
      </c>
      <c r="Q31" s="137">
        <v>45582</v>
      </c>
      <c r="R31" s="136"/>
      <c r="S31" s="138">
        <v>5</v>
      </c>
      <c r="T31" s="138">
        <v>5</v>
      </c>
      <c r="U31" s="138">
        <v>5</v>
      </c>
      <c r="V31" s="138">
        <v>5</v>
      </c>
      <c r="W31" s="137">
        <v>45576</v>
      </c>
      <c r="X31" s="137">
        <v>45582</v>
      </c>
      <c r="Y31" s="139">
        <v>5</v>
      </c>
      <c r="Z31" s="140">
        <v>5</v>
      </c>
      <c r="AA31" s="138"/>
      <c r="AB31" s="136"/>
      <c r="AC31" s="141"/>
      <c r="AD31" s="164">
        <v>1</v>
      </c>
      <c r="AE31" s="209">
        <v>0</v>
      </c>
      <c r="AF31" s="168"/>
      <c r="AG31" s="169" t="str">
        <f>"     " &amp; TEXT(AE31,"#0.00%") &amp; " " &amp; "UIUX Design concept/ guide" &amp; " " &amp; IF(P31="","",TEXT(P31,"M/D-")) &amp; IF(Q31="","",TEXT(Q31,"M/D")) &amp; " "</f>
        <v xml:space="preserve">     0.00% UIUX Design concept/ guide 10/11-10/17 </v>
      </c>
      <c r="AH31" s="169"/>
      <c r="AI31" s="169"/>
      <c r="AJ31" s="169"/>
      <c r="AK31" s="169"/>
      <c r="AL31" s="169"/>
      <c r="AM31" s="169"/>
      <c r="AN31" s="169"/>
      <c r="AO31" s="169"/>
      <c r="AP31" s="169"/>
      <c r="AQ31" s="169"/>
      <c r="AR31" s="169"/>
      <c r="AS31" s="169"/>
    </row>
    <row r="32" spans="1:45" ht="12" customHeight="1" outlineLevel="2">
      <c r="A32" s="135"/>
      <c r="B32" s="135" t="s">
        <v>80</v>
      </c>
      <c r="C32" s="135">
        <v>3</v>
      </c>
      <c r="D32" s="165" t="s">
        <v>129</v>
      </c>
      <c r="E32" s="136"/>
      <c r="F32" s="221"/>
      <c r="G32" s="221" t="s">
        <v>130</v>
      </c>
      <c r="H32" s="221"/>
      <c r="I32" s="221"/>
      <c r="J32" s="221"/>
      <c r="K32" s="221"/>
      <c r="L32" s="136"/>
      <c r="M32" s="136"/>
      <c r="N32" s="136"/>
      <c r="O32" s="136"/>
      <c r="P32" s="137">
        <v>45576</v>
      </c>
      <c r="Q32" s="137">
        <v>45576</v>
      </c>
      <c r="R32" s="136"/>
      <c r="S32" s="138">
        <v>2</v>
      </c>
      <c r="T32" s="138">
        <v>2</v>
      </c>
      <c r="U32" s="138">
        <v>1</v>
      </c>
      <c r="V32" s="138">
        <v>1</v>
      </c>
      <c r="W32" s="137"/>
      <c r="X32" s="137"/>
      <c r="Y32" s="139">
        <v>0</v>
      </c>
      <c r="Z32" s="140">
        <v>0</v>
      </c>
      <c r="AA32" s="138"/>
      <c r="AB32" s="136"/>
      <c r="AC32" s="141"/>
      <c r="AD32" s="164">
        <v>1</v>
      </c>
      <c r="AE32" s="210">
        <v>0</v>
      </c>
      <c r="AF32" s="168"/>
      <c r="AG32" s="169" t="str">
        <f>"     " &amp; TEXT(AE32,"#0.00%") &amp; " " &amp; "Preparing for Agile Implementation" &amp; " " &amp; IF(P32="","",TEXT(P32,"M/D-")) &amp; IF(Q32="","",TEXT(Q32,"M/D")) &amp; " "</f>
        <v xml:space="preserve">     0.00% Preparing for Agile Implementation 10/11-10/11 </v>
      </c>
      <c r="AH32" s="169"/>
      <c r="AI32" s="169"/>
      <c r="AJ32" s="169"/>
      <c r="AK32" s="169"/>
      <c r="AL32" s="169"/>
      <c r="AM32" s="169"/>
      <c r="AN32" s="169"/>
      <c r="AO32" s="169"/>
      <c r="AP32" s="169"/>
      <c r="AQ32" s="169"/>
      <c r="AR32" s="169"/>
      <c r="AS32" s="169"/>
    </row>
    <row r="33" spans="1:45" ht="12" customHeight="1" outlineLevel="3">
      <c r="A33" s="135"/>
      <c r="B33" s="135"/>
      <c r="C33" s="135">
        <v>4</v>
      </c>
      <c r="D33" s="165" t="s">
        <v>131</v>
      </c>
      <c r="E33" s="136"/>
      <c r="F33" s="219"/>
      <c r="G33" s="219"/>
      <c r="H33" s="219" t="s">
        <v>132</v>
      </c>
      <c r="I33" s="219"/>
      <c r="J33" s="219"/>
      <c r="K33" s="219"/>
      <c r="L33" s="136"/>
      <c r="M33" s="136"/>
      <c r="N33" s="136"/>
      <c r="O33" s="136"/>
      <c r="P33" s="137">
        <v>45576</v>
      </c>
      <c r="Q33" s="137">
        <v>45576</v>
      </c>
      <c r="R33" s="136"/>
      <c r="S33" s="138">
        <v>1</v>
      </c>
      <c r="T33" s="138">
        <v>1</v>
      </c>
      <c r="U33" s="138">
        <v>1</v>
      </c>
      <c r="V33" s="138">
        <v>1</v>
      </c>
      <c r="W33" s="137">
        <v>45576</v>
      </c>
      <c r="X33" s="137">
        <v>45576</v>
      </c>
      <c r="Y33" s="139">
        <v>1</v>
      </c>
      <c r="Z33" s="140">
        <v>1</v>
      </c>
      <c r="AA33" s="138"/>
      <c r="AB33" s="136"/>
      <c r="AC33" s="141"/>
      <c r="AD33" s="164">
        <v>1</v>
      </c>
      <c r="AE33" s="209">
        <v>0</v>
      </c>
      <c r="AF33" s="168"/>
      <c r="AG33" s="169" t="str">
        <f>"     " &amp; TEXT(AE33,"#0.00%") &amp; " " &amp; "Agile training" &amp; " " &amp; IF(P33="","",TEXT(P33,"M/D-")) &amp; IF(Q33="","",TEXT(Q33,"M/D")) &amp; " "</f>
        <v xml:space="preserve">     0.00% Agile training 10/11-10/11 </v>
      </c>
      <c r="AH33" s="169"/>
      <c r="AI33" s="169"/>
      <c r="AJ33" s="169"/>
      <c r="AK33" s="169"/>
      <c r="AL33" s="169"/>
      <c r="AM33" s="169"/>
      <c r="AN33" s="169"/>
      <c r="AO33" s="169"/>
      <c r="AP33" s="169"/>
      <c r="AQ33" s="169"/>
      <c r="AR33" s="169"/>
      <c r="AS33" s="169"/>
    </row>
    <row r="34" spans="1:45" ht="12" customHeight="1" outlineLevel="3">
      <c r="A34" s="135"/>
      <c r="B34" s="135"/>
      <c r="C34" s="135">
        <v>4</v>
      </c>
      <c r="D34" s="165" t="s">
        <v>133</v>
      </c>
      <c r="E34" s="136"/>
      <c r="F34" s="222"/>
      <c r="G34" s="222"/>
      <c r="H34" s="222" t="s">
        <v>91</v>
      </c>
      <c r="I34" s="222"/>
      <c r="J34" s="222"/>
      <c r="K34" s="222"/>
      <c r="L34" s="136"/>
      <c r="M34" s="136"/>
      <c r="N34" s="136"/>
      <c r="O34" s="136" t="s">
        <v>134</v>
      </c>
      <c r="P34" s="137">
        <v>45576</v>
      </c>
      <c r="Q34" s="137">
        <v>45576</v>
      </c>
      <c r="R34" s="136"/>
      <c r="S34" s="138">
        <v>1</v>
      </c>
      <c r="T34" s="138">
        <v>1</v>
      </c>
      <c r="U34" s="138">
        <v>1</v>
      </c>
      <c r="V34" s="138">
        <v>1</v>
      </c>
      <c r="W34" s="137">
        <v>45576</v>
      </c>
      <c r="X34" s="137">
        <v>45576</v>
      </c>
      <c r="Y34" s="139">
        <v>1</v>
      </c>
      <c r="Z34" s="140">
        <v>1</v>
      </c>
      <c r="AA34" s="138"/>
      <c r="AB34" s="136"/>
      <c r="AC34" s="141"/>
      <c r="AD34" s="164">
        <v>1</v>
      </c>
      <c r="AE34" s="209">
        <v>0</v>
      </c>
      <c r="AF34" s="168"/>
      <c r="AG34" s="169" t="str">
        <f>"     " &amp; TEXT(AE34,"#0.00%") &amp; " " &amp; "Tool Setup" &amp; " " &amp; IF(P34="","",TEXT(P34,"M/D-")) &amp; IF(Q34="","",TEXT(Q34,"M/D")) &amp; " "</f>
        <v xml:space="preserve">     0.00% Tool Setup 10/11-10/11 </v>
      </c>
      <c r="AH34" s="169"/>
      <c r="AI34" s="169"/>
      <c r="AJ34" s="169"/>
      <c r="AK34" s="169"/>
      <c r="AL34" s="169"/>
      <c r="AM34" s="169"/>
      <c r="AN34" s="169"/>
      <c r="AO34" s="169"/>
      <c r="AP34" s="169"/>
      <c r="AQ34" s="169"/>
      <c r="AR34" s="169"/>
      <c r="AS34" s="169"/>
    </row>
    <row r="35" spans="1:45" ht="12" customHeight="1" outlineLevel="2">
      <c r="A35" s="135"/>
      <c r="B35" s="135" t="s">
        <v>80</v>
      </c>
      <c r="C35" s="135">
        <v>3</v>
      </c>
      <c r="D35" s="165" t="s">
        <v>135</v>
      </c>
      <c r="E35" s="136"/>
      <c r="F35" s="256"/>
      <c r="G35" s="256" t="s">
        <v>136</v>
      </c>
      <c r="H35" s="256"/>
      <c r="I35" s="256"/>
      <c r="J35" s="256"/>
      <c r="K35" s="256"/>
      <c r="L35" s="136"/>
      <c r="M35" s="136"/>
      <c r="N35" s="136"/>
      <c r="O35" s="136"/>
      <c r="P35" s="137">
        <v>45586</v>
      </c>
      <c r="Q35" s="137">
        <v>45590</v>
      </c>
      <c r="R35" s="136"/>
      <c r="S35" s="138">
        <v>30</v>
      </c>
      <c r="T35" s="138">
        <v>30</v>
      </c>
      <c r="U35" s="138">
        <v>5</v>
      </c>
      <c r="V35" s="138">
        <v>5</v>
      </c>
      <c r="W35" s="137"/>
      <c r="X35" s="137"/>
      <c r="Y35" s="139">
        <v>0</v>
      </c>
      <c r="Z35" s="140">
        <v>0</v>
      </c>
      <c r="AA35" s="138"/>
      <c r="AB35" s="136"/>
      <c r="AC35" s="141"/>
      <c r="AD35" s="249">
        <v>1</v>
      </c>
      <c r="AE35" s="210">
        <v>0</v>
      </c>
      <c r="AF35" s="168"/>
      <c r="AG35" s="169"/>
      <c r="AH35" s="169"/>
      <c r="AI35" s="169" t="str">
        <f>" " &amp; TEXT(AE35,"#0.00%") &amp; " " &amp; "Sprint #0" &amp; " " &amp; IF(P35="","",TEXT(P35,"M/D-")) &amp; IF(Q35="","",TEXT(Q35,"M/D")) &amp; " "</f>
        <v xml:space="preserve"> 0.00% Sprint #0 10/21-10/25 </v>
      </c>
      <c r="AJ35" s="169"/>
      <c r="AK35" s="169"/>
      <c r="AL35" s="169"/>
      <c r="AM35" s="169"/>
      <c r="AN35" s="169"/>
      <c r="AO35" s="169"/>
      <c r="AP35" s="169"/>
      <c r="AQ35" s="169"/>
      <c r="AR35" s="169"/>
      <c r="AS35" s="169"/>
    </row>
    <row r="36" spans="1:45" ht="12" customHeight="1" outlineLevel="3">
      <c r="A36" s="135"/>
      <c r="B36" s="135" t="s">
        <v>80</v>
      </c>
      <c r="C36" s="135">
        <v>4</v>
      </c>
      <c r="D36" s="165" t="s">
        <v>137</v>
      </c>
      <c r="E36" s="136"/>
      <c r="F36" s="256"/>
      <c r="G36" s="256"/>
      <c r="H36" s="219" t="s">
        <v>138</v>
      </c>
      <c r="I36" s="219"/>
      <c r="J36" s="256"/>
      <c r="K36" s="256"/>
      <c r="L36" s="136"/>
      <c r="M36" s="136"/>
      <c r="N36" s="136"/>
      <c r="O36" s="136"/>
      <c r="P36" s="257">
        <v>45586</v>
      </c>
      <c r="Q36" s="257">
        <v>45588</v>
      </c>
      <c r="R36" s="136"/>
      <c r="S36" s="138">
        <v>3</v>
      </c>
      <c r="T36" s="138">
        <v>3</v>
      </c>
      <c r="U36" s="138">
        <v>3</v>
      </c>
      <c r="V36" s="138">
        <v>3</v>
      </c>
      <c r="W36" s="137"/>
      <c r="X36" s="137"/>
      <c r="Y36" s="139">
        <v>0</v>
      </c>
      <c r="Z36" s="140">
        <v>0</v>
      </c>
      <c r="AA36" s="138"/>
      <c r="AB36" s="136"/>
      <c r="AC36" s="141"/>
      <c r="AD36" s="249">
        <v>1</v>
      </c>
      <c r="AE36" s="210">
        <v>0</v>
      </c>
      <c r="AF36" s="168"/>
      <c r="AG36" s="169"/>
      <c r="AH36" s="169"/>
      <c r="AI36" s="169" t="str">
        <f>" " &amp; TEXT(AE36,"#0.00%") &amp; " " &amp; "Detail Design" &amp; " " &amp; IF(P36="","",TEXT(P36,"M/D-")) &amp; IF(Q36="","",TEXT(Q36,"M/D")) &amp; " "</f>
        <v xml:space="preserve"> 0.00% Detail Design 10/21-10/23 </v>
      </c>
      <c r="AJ36" s="169"/>
      <c r="AK36" s="169"/>
      <c r="AL36" s="169"/>
      <c r="AM36" s="169"/>
      <c r="AN36" s="169"/>
      <c r="AO36" s="169"/>
      <c r="AP36" s="169"/>
      <c r="AQ36" s="169"/>
      <c r="AR36" s="169"/>
      <c r="AS36" s="169"/>
    </row>
    <row r="37" spans="1:45" ht="12" customHeight="1" outlineLevel="4">
      <c r="A37" s="135"/>
      <c r="B37" s="135"/>
      <c r="C37" s="135">
        <v>5</v>
      </c>
      <c r="D37" s="165" t="s">
        <v>139</v>
      </c>
      <c r="E37" s="136"/>
      <c r="F37" s="136"/>
      <c r="G37" s="136"/>
      <c r="H37" s="219"/>
      <c r="I37" s="219" t="s">
        <v>1698</v>
      </c>
      <c r="J37" s="256"/>
      <c r="K37" s="256"/>
      <c r="L37" s="136"/>
      <c r="M37" s="136"/>
      <c r="N37" s="136"/>
      <c r="O37" s="258" t="s">
        <v>1694</v>
      </c>
      <c r="P37" s="137">
        <v>45586</v>
      </c>
      <c r="Q37" s="137">
        <v>45588</v>
      </c>
      <c r="R37" s="136"/>
      <c r="S37" s="138">
        <v>3</v>
      </c>
      <c r="T37" s="138">
        <v>3</v>
      </c>
      <c r="U37" s="138">
        <v>3</v>
      </c>
      <c r="V37" s="138">
        <v>3</v>
      </c>
      <c r="W37" s="137">
        <v>45586</v>
      </c>
      <c r="X37" s="137">
        <v>45588</v>
      </c>
      <c r="Y37" s="139">
        <v>3</v>
      </c>
      <c r="Z37" s="140">
        <v>3</v>
      </c>
      <c r="AA37" s="138"/>
      <c r="AB37" s="136"/>
      <c r="AC37" s="141"/>
      <c r="AD37" s="249">
        <v>1</v>
      </c>
      <c r="AE37" s="209">
        <v>0</v>
      </c>
      <c r="AF37" s="168"/>
      <c r="AG37" s="169"/>
      <c r="AH37" s="169"/>
      <c r="AI37" s="169" t="str">
        <f>" " &amp; TEXT(AE37,"#0.00%") &amp; " " &amp; "Screen design" &amp; " " &amp; IF(P37="","",TEXT(P37,"M/D-")) &amp; IF(Q37="","",TEXT(Q37,"M/D")) &amp; " "</f>
        <v xml:space="preserve"> 0.00% Screen design 10/21-10/23 </v>
      </c>
      <c r="AJ37" s="169"/>
      <c r="AK37" s="169"/>
      <c r="AL37" s="169"/>
      <c r="AM37" s="169"/>
      <c r="AN37" s="169"/>
      <c r="AO37" s="169"/>
      <c r="AP37" s="169"/>
      <c r="AQ37" s="169"/>
      <c r="AR37" s="169"/>
      <c r="AS37" s="169"/>
    </row>
    <row r="38" spans="1:45" ht="12" customHeight="1" outlineLevel="3">
      <c r="A38" s="135"/>
      <c r="B38" s="135"/>
      <c r="C38" s="135">
        <v>4</v>
      </c>
      <c r="D38" s="165" t="s">
        <v>140</v>
      </c>
      <c r="E38" s="136"/>
      <c r="F38" s="219"/>
      <c r="G38" s="219"/>
      <c r="H38" s="259" t="s">
        <v>141</v>
      </c>
      <c r="I38" s="219"/>
      <c r="J38" s="219"/>
      <c r="K38" s="219"/>
      <c r="L38" s="136"/>
      <c r="M38" s="136"/>
      <c r="N38" s="136"/>
      <c r="O38" s="136"/>
      <c r="P38" s="137">
        <v>45586</v>
      </c>
      <c r="Q38" s="137">
        <v>45588</v>
      </c>
      <c r="R38" s="136"/>
      <c r="S38" s="138">
        <v>3</v>
      </c>
      <c r="T38" s="138">
        <v>3</v>
      </c>
      <c r="U38" s="138">
        <v>3</v>
      </c>
      <c r="V38" s="138">
        <v>3</v>
      </c>
      <c r="W38" s="137">
        <v>45586</v>
      </c>
      <c r="X38" s="137">
        <v>45588</v>
      </c>
      <c r="Y38" s="139">
        <v>3</v>
      </c>
      <c r="Z38" s="140">
        <v>3</v>
      </c>
      <c r="AA38" s="138"/>
      <c r="AB38" s="136"/>
      <c r="AC38" s="141"/>
      <c r="AD38" s="249">
        <v>1</v>
      </c>
      <c r="AE38" s="209">
        <v>0</v>
      </c>
      <c r="AF38" s="168"/>
      <c r="AG38" s="169"/>
      <c r="AH38" s="169"/>
      <c r="AI38" s="169" t="str">
        <f>" " &amp; TEXT(AE38,"#0.00%") &amp; " " &amp; "Development environment setup" &amp; " " &amp; IF(P38="","",TEXT(P38,"M/D-")) &amp; IF(Q38="","",TEXT(Q38,"M/D")) &amp; " "</f>
        <v xml:space="preserve"> 0.00% Development environment setup 10/21-10/23 </v>
      </c>
      <c r="AJ38" s="169"/>
      <c r="AK38" s="169"/>
      <c r="AL38" s="169"/>
      <c r="AM38" s="169"/>
      <c r="AN38" s="169"/>
      <c r="AO38" s="169"/>
      <c r="AP38" s="169"/>
      <c r="AQ38" s="169"/>
      <c r="AR38" s="169"/>
      <c r="AS38" s="169"/>
    </row>
    <row r="39" spans="1:45" ht="12" customHeight="1" outlineLevel="3">
      <c r="A39" s="135"/>
      <c r="B39" s="135"/>
      <c r="C39" s="135">
        <v>4</v>
      </c>
      <c r="D39" s="165" t="s">
        <v>142</v>
      </c>
      <c r="E39" s="136"/>
      <c r="F39" s="219"/>
      <c r="G39" s="219"/>
      <c r="H39" s="259" t="s">
        <v>1699</v>
      </c>
      <c r="I39" s="219"/>
      <c r="J39" s="219"/>
      <c r="K39" s="219"/>
      <c r="L39" s="136"/>
      <c r="M39" s="136"/>
      <c r="N39" s="136"/>
      <c r="O39" s="136"/>
      <c r="P39" s="137"/>
      <c r="Q39" s="137"/>
      <c r="R39" s="136"/>
      <c r="S39" s="138">
        <v>0</v>
      </c>
      <c r="T39" s="138">
        <v>0</v>
      </c>
      <c r="U39" s="138">
        <v>0</v>
      </c>
      <c r="V39" s="138">
        <v>0</v>
      </c>
      <c r="W39" s="137"/>
      <c r="X39" s="137"/>
      <c r="Y39" s="139">
        <v>0</v>
      </c>
      <c r="Z39" s="140">
        <v>0</v>
      </c>
      <c r="AA39" s="138"/>
      <c r="AB39" s="136"/>
      <c r="AC39" s="141"/>
      <c r="AD39" s="249">
        <v>0</v>
      </c>
      <c r="AE39" s="327">
        <v>0</v>
      </c>
      <c r="AF39" s="168"/>
      <c r="AG39" s="169"/>
      <c r="AH39" s="169"/>
      <c r="AI39" s="169"/>
      <c r="AJ39" s="169"/>
      <c r="AK39" s="169"/>
      <c r="AL39" s="169"/>
      <c r="AM39" s="169"/>
      <c r="AN39" s="169"/>
      <c r="AO39" s="169"/>
      <c r="AP39" s="169"/>
      <c r="AQ39" s="169"/>
      <c r="AR39" s="169"/>
      <c r="AS39" s="169"/>
    </row>
    <row r="40" spans="1:45" ht="12" customHeight="1" outlineLevel="3">
      <c r="A40" s="135"/>
      <c r="B40" s="135"/>
      <c r="C40" s="135">
        <v>4</v>
      </c>
      <c r="D40" s="165" t="s">
        <v>145</v>
      </c>
      <c r="E40" s="136"/>
      <c r="F40" s="219"/>
      <c r="G40" s="219"/>
      <c r="H40" s="259" t="s">
        <v>143</v>
      </c>
      <c r="I40" s="219"/>
      <c r="J40" s="219"/>
      <c r="K40" s="219"/>
      <c r="L40" s="136"/>
      <c r="M40" s="136"/>
      <c r="N40" s="136"/>
      <c r="O40" s="258" t="s">
        <v>144</v>
      </c>
      <c r="P40" s="137">
        <v>45586</v>
      </c>
      <c r="Q40" s="137">
        <v>45588</v>
      </c>
      <c r="R40" s="136"/>
      <c r="S40" s="138">
        <v>3</v>
      </c>
      <c r="T40" s="138">
        <v>3</v>
      </c>
      <c r="U40" s="138">
        <v>3</v>
      </c>
      <c r="V40" s="138">
        <v>3</v>
      </c>
      <c r="W40" s="137">
        <v>45586</v>
      </c>
      <c r="X40" s="137">
        <v>45588</v>
      </c>
      <c r="Y40" s="139">
        <v>3</v>
      </c>
      <c r="Z40" s="140">
        <v>3</v>
      </c>
      <c r="AA40" s="138"/>
      <c r="AB40" s="136"/>
      <c r="AC40" s="141"/>
      <c r="AD40" s="249">
        <v>1</v>
      </c>
      <c r="AE40" s="209">
        <v>0</v>
      </c>
      <c r="AF40" s="168"/>
      <c r="AG40" s="169"/>
      <c r="AH40" s="169"/>
      <c r="AI40" s="169" t="str">
        <f>" " &amp; TEXT(AE40,"#0.00%") &amp; " " &amp; "Development data setup" &amp; " " &amp; IF(P40="","",TEXT(P40,"M/D-")) &amp; IF(Q40="","",TEXT(Q40,"M/D")) &amp; " "</f>
        <v xml:space="preserve"> 0.00% Development data setup 10/21-10/23 </v>
      </c>
      <c r="AJ40" s="169"/>
      <c r="AK40" s="169"/>
      <c r="AL40" s="169"/>
      <c r="AM40" s="169"/>
      <c r="AN40" s="169"/>
      <c r="AO40" s="169"/>
      <c r="AP40" s="169"/>
      <c r="AQ40" s="169"/>
      <c r="AR40" s="169"/>
      <c r="AS40" s="169"/>
    </row>
    <row r="41" spans="1:45" ht="12" customHeight="1" outlineLevel="3">
      <c r="A41" s="135"/>
      <c r="B41" s="135"/>
      <c r="C41" s="135">
        <v>4</v>
      </c>
      <c r="D41" s="165" t="s">
        <v>148</v>
      </c>
      <c r="E41" s="136"/>
      <c r="F41" s="219"/>
      <c r="G41" s="219"/>
      <c r="H41" s="219" t="s">
        <v>146</v>
      </c>
      <c r="I41" s="219"/>
      <c r="J41" s="219"/>
      <c r="K41" s="136"/>
      <c r="L41" s="136"/>
      <c r="M41" s="136"/>
      <c r="N41" s="136"/>
      <c r="O41" s="136" t="s">
        <v>147</v>
      </c>
      <c r="P41" s="137">
        <v>45586</v>
      </c>
      <c r="Q41" s="137">
        <v>45588</v>
      </c>
      <c r="R41" s="136"/>
      <c r="S41" s="138">
        <v>3</v>
      </c>
      <c r="T41" s="138">
        <v>3</v>
      </c>
      <c r="U41" s="138">
        <v>3</v>
      </c>
      <c r="V41" s="138">
        <v>3</v>
      </c>
      <c r="W41" s="137"/>
      <c r="X41" s="137"/>
      <c r="Y41" s="139"/>
      <c r="Z41" s="140">
        <v>0</v>
      </c>
      <c r="AA41" s="138"/>
      <c r="AB41" s="136"/>
      <c r="AC41" s="141"/>
      <c r="AD41" s="249">
        <v>1</v>
      </c>
      <c r="AE41" s="209">
        <v>0</v>
      </c>
      <c r="AF41" s="168"/>
      <c r="AG41" s="169"/>
      <c r="AH41" s="169"/>
      <c r="AI41" s="169" t="str">
        <f>" " &amp; TEXT(AE41,"#0.00%") &amp; " " &amp; "SW Architecture Design" &amp; " " &amp; IF(P41="","",TEXT(P41,"M/D-")) &amp; IF(Q41="","",TEXT(Q41,"M/D")) &amp; " "</f>
        <v xml:space="preserve"> 0.00% SW Architecture Design 10/21-10/23 </v>
      </c>
      <c r="AJ41" s="169"/>
      <c r="AK41" s="169"/>
      <c r="AL41" s="169"/>
      <c r="AM41" s="169"/>
      <c r="AN41" s="169"/>
      <c r="AO41" s="169"/>
      <c r="AP41" s="169"/>
      <c r="AQ41" s="169"/>
      <c r="AR41" s="169"/>
      <c r="AS41" s="169"/>
    </row>
    <row r="42" spans="1:45" ht="12" customHeight="1" outlineLevel="3">
      <c r="A42" s="135"/>
      <c r="B42" s="135"/>
      <c r="C42" s="135">
        <v>4</v>
      </c>
      <c r="D42" s="165" t="s">
        <v>151</v>
      </c>
      <c r="E42" s="136"/>
      <c r="F42" s="219"/>
      <c r="G42" s="219"/>
      <c r="H42" s="219" t="s">
        <v>149</v>
      </c>
      <c r="I42" s="219"/>
      <c r="J42" s="219"/>
      <c r="K42" s="136"/>
      <c r="L42" s="136"/>
      <c r="M42" s="136"/>
      <c r="N42" s="136"/>
      <c r="O42" s="136" t="s">
        <v>150</v>
      </c>
      <c r="P42" s="137">
        <v>45586</v>
      </c>
      <c r="Q42" s="137">
        <v>45588</v>
      </c>
      <c r="R42" s="136"/>
      <c r="S42" s="138">
        <v>3</v>
      </c>
      <c r="T42" s="138">
        <v>3</v>
      </c>
      <c r="U42" s="138">
        <v>3</v>
      </c>
      <c r="V42" s="138">
        <v>3</v>
      </c>
      <c r="W42" s="137">
        <v>45586</v>
      </c>
      <c r="X42" s="137">
        <v>45588</v>
      </c>
      <c r="Y42" s="139">
        <v>3</v>
      </c>
      <c r="Z42" s="140">
        <v>3</v>
      </c>
      <c r="AA42" s="138"/>
      <c r="AB42" s="136"/>
      <c r="AC42" s="141"/>
      <c r="AD42" s="249">
        <v>1</v>
      </c>
      <c r="AE42" s="209">
        <v>0</v>
      </c>
      <c r="AF42" s="168"/>
      <c r="AG42" s="169"/>
      <c r="AH42" s="169"/>
      <c r="AI42" s="169" t="str">
        <f>" " &amp; TEXT(AE42,"#0.00%") &amp; " " &amp; "Project base development" &amp; " " &amp; IF(P42="","",TEXT(P42,"M/D-")) &amp; IF(Q42="","",TEXT(Q42,"M/D")) &amp; " "</f>
        <v xml:space="preserve"> 0.00% Project base development 10/21-10/23 </v>
      </c>
      <c r="AJ42" s="169"/>
      <c r="AK42" s="169"/>
      <c r="AL42" s="169"/>
      <c r="AM42" s="169"/>
      <c r="AN42" s="169"/>
      <c r="AO42" s="169"/>
      <c r="AP42" s="169"/>
      <c r="AQ42" s="169"/>
      <c r="AR42" s="169"/>
      <c r="AS42" s="169"/>
    </row>
    <row r="43" spans="1:45" ht="12" customHeight="1" outlineLevel="3">
      <c r="A43" s="135"/>
      <c r="B43" s="135" t="s">
        <v>80</v>
      </c>
      <c r="C43" s="135">
        <v>4</v>
      </c>
      <c r="D43" s="165" t="s">
        <v>157</v>
      </c>
      <c r="E43" s="136"/>
      <c r="F43" s="248"/>
      <c r="G43" s="248"/>
      <c r="H43" s="222" t="s">
        <v>152</v>
      </c>
      <c r="I43" s="248"/>
      <c r="J43" s="248"/>
      <c r="K43" s="248"/>
      <c r="L43" s="136"/>
      <c r="M43" s="136"/>
      <c r="N43" s="136"/>
      <c r="O43" s="136"/>
      <c r="P43" s="137">
        <v>45586</v>
      </c>
      <c r="Q43" s="137">
        <v>45589</v>
      </c>
      <c r="R43" s="136"/>
      <c r="S43" s="138">
        <v>12</v>
      </c>
      <c r="T43" s="138">
        <v>12</v>
      </c>
      <c r="U43" s="138">
        <v>4</v>
      </c>
      <c r="V43" s="138">
        <v>4</v>
      </c>
      <c r="W43" s="137"/>
      <c r="X43" s="137"/>
      <c r="Y43" s="139">
        <v>0</v>
      </c>
      <c r="Z43" s="140">
        <v>0</v>
      </c>
      <c r="AA43" s="138"/>
      <c r="AB43" s="136"/>
      <c r="AC43" s="141"/>
      <c r="AD43" s="249">
        <v>1</v>
      </c>
      <c r="AE43" s="210">
        <v>0</v>
      </c>
      <c r="AF43" s="168"/>
      <c r="AG43" s="169"/>
      <c r="AH43" s="169"/>
      <c r="AI43" s="169" t="str">
        <f>" " &amp; TEXT(AE43,"#0.00%") &amp; " " &amp; "Development standards finalization" &amp; " " &amp; IF(P43="","",TEXT(P43,"M/D-")) &amp; IF(Q43="","",TEXT(Q43,"M/D")) &amp; " "</f>
        <v xml:space="preserve"> 0.00% Development standards finalization 10/21-10/24 </v>
      </c>
      <c r="AJ43" s="169"/>
      <c r="AK43" s="169"/>
      <c r="AL43" s="169"/>
      <c r="AM43" s="169"/>
      <c r="AN43" s="169"/>
      <c r="AO43" s="169"/>
      <c r="AP43" s="169"/>
      <c r="AQ43" s="169"/>
      <c r="AR43" s="169"/>
      <c r="AS43" s="169"/>
    </row>
    <row r="44" spans="1:45" ht="12" customHeight="1" outlineLevel="4">
      <c r="A44" s="135"/>
      <c r="B44" s="135"/>
      <c r="C44" s="135">
        <v>5</v>
      </c>
      <c r="D44" s="165" t="s">
        <v>1700</v>
      </c>
      <c r="E44" s="136"/>
      <c r="F44" s="219"/>
      <c r="G44" s="219"/>
      <c r="H44" s="259"/>
      <c r="I44" s="219" t="s">
        <v>153</v>
      </c>
      <c r="J44" s="219"/>
      <c r="K44" s="219"/>
      <c r="L44" s="136"/>
      <c r="M44" s="136"/>
      <c r="N44" s="136"/>
      <c r="O44" s="284" t="s">
        <v>154</v>
      </c>
      <c r="P44" s="137">
        <v>45586</v>
      </c>
      <c r="Q44" s="137">
        <v>45589</v>
      </c>
      <c r="R44" s="136"/>
      <c r="S44" s="138">
        <v>4</v>
      </c>
      <c r="T44" s="138">
        <v>4</v>
      </c>
      <c r="U44" s="138">
        <v>4</v>
      </c>
      <c r="V44" s="138">
        <v>4</v>
      </c>
      <c r="W44" s="137">
        <v>45586</v>
      </c>
      <c r="X44" s="137">
        <v>45589</v>
      </c>
      <c r="Y44" s="139">
        <v>4</v>
      </c>
      <c r="Z44" s="140">
        <v>4</v>
      </c>
      <c r="AA44" s="138"/>
      <c r="AB44" s="136"/>
      <c r="AC44" s="141"/>
      <c r="AD44" s="249">
        <v>1</v>
      </c>
      <c r="AE44" s="209">
        <v>0</v>
      </c>
      <c r="AF44" s="168"/>
      <c r="AG44" s="169"/>
      <c r="AH44" s="169"/>
      <c r="AI44" s="169" t="str">
        <f>" " &amp; TEXT(AE44,"#0.00%") &amp; " " &amp; "Development environment setup guide" &amp; " " &amp; IF(P44="","",TEXT(P44,"M/D-")) &amp; IF(Q44="","",TEXT(Q44,"M/D")) &amp; " "</f>
        <v xml:space="preserve"> 0.00% Development environment setup guide 10/21-10/24 </v>
      </c>
      <c r="AJ44" s="169"/>
      <c r="AK44" s="169"/>
      <c r="AL44" s="169"/>
      <c r="AM44" s="169"/>
      <c r="AN44" s="169"/>
      <c r="AO44" s="169"/>
      <c r="AP44" s="169"/>
      <c r="AQ44" s="169"/>
      <c r="AR44" s="169"/>
      <c r="AS44" s="169"/>
    </row>
    <row r="45" spans="1:45" ht="12" customHeight="1" outlineLevel="4">
      <c r="A45" s="135"/>
      <c r="B45" s="135"/>
      <c r="C45" s="135">
        <v>5</v>
      </c>
      <c r="D45" s="165" t="s">
        <v>1701</v>
      </c>
      <c r="E45" s="136"/>
      <c r="F45" s="219"/>
      <c r="G45" s="219"/>
      <c r="H45" s="219"/>
      <c r="I45" s="219" t="s">
        <v>155</v>
      </c>
      <c r="J45" s="219"/>
      <c r="K45" s="219"/>
      <c r="L45" s="136"/>
      <c r="M45" s="136"/>
      <c r="N45" s="136"/>
      <c r="O45" s="284"/>
      <c r="P45" s="137">
        <v>45586</v>
      </c>
      <c r="Q45" s="137">
        <v>45589</v>
      </c>
      <c r="R45" s="136"/>
      <c r="S45" s="138">
        <v>4</v>
      </c>
      <c r="T45" s="138">
        <v>4</v>
      </c>
      <c r="U45" s="138">
        <v>4</v>
      </c>
      <c r="V45" s="138">
        <v>4</v>
      </c>
      <c r="W45" s="137">
        <v>45586</v>
      </c>
      <c r="X45" s="137">
        <v>45589</v>
      </c>
      <c r="Y45" s="139">
        <v>4</v>
      </c>
      <c r="Z45" s="140">
        <v>4</v>
      </c>
      <c r="AA45" s="138"/>
      <c r="AB45" s="136"/>
      <c r="AC45" s="141"/>
      <c r="AD45" s="249">
        <v>1</v>
      </c>
      <c r="AE45" s="209">
        <v>0</v>
      </c>
      <c r="AF45" s="168"/>
      <c r="AG45" s="169"/>
      <c r="AH45" s="169"/>
      <c r="AI45" s="169" t="str">
        <f>" " &amp; TEXT(AE45,"#0.00%") &amp; " " &amp; "Coding standard guide" &amp; " " &amp; IF(P45="","",TEXT(P45,"M/D-")) &amp; IF(Q45="","",TEXT(Q45,"M/D")) &amp; " "</f>
        <v xml:space="preserve"> 0.00% Coding standard guide 10/21-10/24 </v>
      </c>
      <c r="AJ45" s="169"/>
      <c r="AK45" s="169"/>
      <c r="AL45" s="169"/>
      <c r="AM45" s="169"/>
      <c r="AN45" s="169"/>
      <c r="AO45" s="169"/>
      <c r="AP45" s="169"/>
      <c r="AQ45" s="169"/>
      <c r="AR45" s="169"/>
      <c r="AS45" s="169"/>
    </row>
    <row r="46" spans="1:45" ht="12" customHeight="1" outlineLevel="4">
      <c r="A46" s="135"/>
      <c r="B46" s="135"/>
      <c r="C46" s="135">
        <v>5</v>
      </c>
      <c r="D46" s="165" t="s">
        <v>1702</v>
      </c>
      <c r="E46" s="136"/>
      <c r="F46" s="219"/>
      <c r="G46" s="219"/>
      <c r="H46" s="219"/>
      <c r="I46" s="219" t="s">
        <v>156</v>
      </c>
      <c r="J46" s="219"/>
      <c r="K46" s="219"/>
      <c r="L46" s="136"/>
      <c r="M46" s="136"/>
      <c r="N46" s="136"/>
      <c r="O46" s="284"/>
      <c r="P46" s="137">
        <v>45586</v>
      </c>
      <c r="Q46" s="137">
        <v>45589</v>
      </c>
      <c r="R46" s="136"/>
      <c r="S46" s="138">
        <v>4</v>
      </c>
      <c r="T46" s="138">
        <v>4</v>
      </c>
      <c r="U46" s="138">
        <v>4</v>
      </c>
      <c r="V46" s="138">
        <v>4</v>
      </c>
      <c r="W46" s="137">
        <v>45586</v>
      </c>
      <c r="X46" s="137">
        <v>45589</v>
      </c>
      <c r="Y46" s="139">
        <v>4</v>
      </c>
      <c r="Z46" s="140">
        <v>4</v>
      </c>
      <c r="AA46" s="138"/>
      <c r="AB46" s="136"/>
      <c r="AC46" s="141"/>
      <c r="AD46" s="249">
        <v>1</v>
      </c>
      <c r="AE46" s="209">
        <v>0</v>
      </c>
      <c r="AF46" s="168"/>
      <c r="AG46" s="169"/>
      <c r="AH46" s="169"/>
      <c r="AI46" s="169" t="str">
        <f>" " &amp; TEXT(AE46,"#0.00%") &amp; " " &amp; "Review and comment process" &amp; " " &amp; IF(P46="","",TEXT(P46,"M/D-")) &amp; IF(Q46="","",TEXT(Q46,"M/D")) &amp; " "</f>
        <v xml:space="preserve"> 0.00% Review and comment process 10/21-10/24 </v>
      </c>
      <c r="AJ46" s="169"/>
      <c r="AK46" s="169"/>
      <c r="AL46" s="169"/>
      <c r="AM46" s="169"/>
      <c r="AN46" s="169"/>
      <c r="AO46" s="169"/>
      <c r="AP46" s="169"/>
      <c r="AQ46" s="169"/>
      <c r="AR46" s="169"/>
      <c r="AS46" s="169"/>
    </row>
    <row r="47" spans="1:45" ht="12" customHeight="1" outlineLevel="3">
      <c r="A47" s="135"/>
      <c r="B47" s="135"/>
      <c r="C47" s="135">
        <v>4</v>
      </c>
      <c r="D47" s="165" t="s">
        <v>160</v>
      </c>
      <c r="E47" s="136"/>
      <c r="F47" s="219"/>
      <c r="G47" s="219"/>
      <c r="H47" s="219" t="s">
        <v>158</v>
      </c>
      <c r="I47" s="219"/>
      <c r="J47" s="219"/>
      <c r="K47" s="219"/>
      <c r="L47" s="136"/>
      <c r="M47" s="136"/>
      <c r="N47" s="136"/>
      <c r="O47" s="136" t="s">
        <v>159</v>
      </c>
      <c r="P47" s="137">
        <v>45589</v>
      </c>
      <c r="Q47" s="137">
        <v>45589</v>
      </c>
      <c r="R47" s="136"/>
      <c r="S47" s="138">
        <v>1</v>
      </c>
      <c r="T47" s="138">
        <v>1</v>
      </c>
      <c r="U47" s="138">
        <v>1</v>
      </c>
      <c r="V47" s="138">
        <v>1</v>
      </c>
      <c r="W47" s="137">
        <v>45588</v>
      </c>
      <c r="X47" s="137">
        <v>45589</v>
      </c>
      <c r="Y47" s="139">
        <v>2</v>
      </c>
      <c r="Z47" s="140">
        <v>2</v>
      </c>
      <c r="AA47" s="138"/>
      <c r="AB47" s="136"/>
      <c r="AC47" s="141"/>
      <c r="AD47" s="249">
        <v>1</v>
      </c>
      <c r="AE47" s="209">
        <v>0</v>
      </c>
      <c r="AF47" s="168"/>
      <c r="AG47" s="169"/>
      <c r="AH47" s="169"/>
      <c r="AI47" s="169" t="str">
        <f>"    " &amp; TEXT(AE47,"#0.00%") &amp; " " &amp; "Pilot development" &amp; " " &amp; IF(P47="","",TEXT(P47,"M/D-")) &amp; IF(Q47="","",TEXT(Q47,"M/D")) &amp; " "</f>
        <v xml:space="preserve">    0.00% Pilot development 10/24-10/24 </v>
      </c>
      <c r="AJ47" s="169"/>
      <c r="AK47" s="169"/>
      <c r="AL47" s="169"/>
      <c r="AM47" s="169"/>
      <c r="AN47" s="169"/>
      <c r="AO47" s="169"/>
      <c r="AP47" s="169"/>
      <c r="AQ47" s="169"/>
      <c r="AR47" s="169"/>
      <c r="AS47" s="169"/>
    </row>
    <row r="48" spans="1:45" ht="12" customHeight="1" outlineLevel="3">
      <c r="A48" s="135"/>
      <c r="B48" s="135"/>
      <c r="C48" s="135">
        <v>4</v>
      </c>
      <c r="D48" s="165" t="s">
        <v>162</v>
      </c>
      <c r="E48" s="136"/>
      <c r="F48" s="219"/>
      <c r="G48" s="219"/>
      <c r="H48" s="219" t="s">
        <v>161</v>
      </c>
      <c r="I48" s="219"/>
      <c r="J48" s="219"/>
      <c r="K48" s="219"/>
      <c r="L48" s="136"/>
      <c r="M48" s="136"/>
      <c r="N48" s="136"/>
      <c r="O48" s="136"/>
      <c r="P48" s="137">
        <v>45590</v>
      </c>
      <c r="Q48" s="137">
        <v>45590</v>
      </c>
      <c r="R48" s="136"/>
      <c r="S48" s="138">
        <v>1</v>
      </c>
      <c r="T48" s="138">
        <v>1</v>
      </c>
      <c r="U48" s="138">
        <v>1</v>
      </c>
      <c r="V48" s="138">
        <v>1</v>
      </c>
      <c r="W48" s="137">
        <v>45590</v>
      </c>
      <c r="X48" s="137">
        <v>45590</v>
      </c>
      <c r="Y48" s="139">
        <v>1</v>
      </c>
      <c r="Z48" s="140">
        <v>1</v>
      </c>
      <c r="AA48" s="138"/>
      <c r="AB48" s="136"/>
      <c r="AC48" s="141"/>
      <c r="AD48" s="249">
        <v>1</v>
      </c>
      <c r="AE48" s="209">
        <v>0</v>
      </c>
      <c r="AF48" s="168"/>
      <c r="AG48" s="169"/>
      <c r="AH48" s="169"/>
      <c r="AI48" s="169" t="str">
        <f>"     " &amp; TEXT(AE48,"#0.00%") &amp; " " &amp; "Sprint #0 Review" &amp; " " &amp; IF(P48="","",TEXT(P48,"M/D-")) &amp; IF(Q48="","",TEXT(Q48,"M/D")) &amp; " "</f>
        <v xml:space="preserve">     0.00% Sprint #0 Review 10/25-10/25 </v>
      </c>
      <c r="AJ48" s="169"/>
      <c r="AK48" s="169"/>
      <c r="AL48" s="169"/>
      <c r="AM48" s="169"/>
      <c r="AN48" s="169"/>
      <c r="AO48" s="169"/>
      <c r="AP48" s="169"/>
      <c r="AQ48" s="169"/>
      <c r="AR48" s="169"/>
      <c r="AS48" s="169"/>
    </row>
    <row r="49" spans="1:45" ht="12" customHeight="1" outlineLevel="3">
      <c r="A49" s="135"/>
      <c r="B49" s="135"/>
      <c r="C49" s="135">
        <v>4</v>
      </c>
      <c r="D49" s="165" t="s">
        <v>1703</v>
      </c>
      <c r="E49" s="136"/>
      <c r="F49" s="219"/>
      <c r="G49" s="219"/>
      <c r="H49" s="219" t="s">
        <v>163</v>
      </c>
      <c r="I49" s="219"/>
      <c r="J49" s="219"/>
      <c r="K49" s="219"/>
      <c r="L49" s="136"/>
      <c r="M49" s="136"/>
      <c r="N49" s="136"/>
      <c r="O49" s="136"/>
      <c r="P49" s="137">
        <v>45590</v>
      </c>
      <c r="Q49" s="137">
        <v>45590</v>
      </c>
      <c r="R49" s="136"/>
      <c r="S49" s="138">
        <v>1</v>
      </c>
      <c r="T49" s="138">
        <v>1</v>
      </c>
      <c r="U49" s="138">
        <v>1</v>
      </c>
      <c r="V49" s="138">
        <v>1</v>
      </c>
      <c r="W49" s="137">
        <v>45590</v>
      </c>
      <c r="X49" s="137">
        <v>45590</v>
      </c>
      <c r="Y49" s="139">
        <v>1</v>
      </c>
      <c r="Z49" s="140">
        <v>1</v>
      </c>
      <c r="AA49" s="138"/>
      <c r="AB49" s="136"/>
      <c r="AC49" s="141"/>
      <c r="AD49" s="249">
        <v>1</v>
      </c>
      <c r="AE49" s="209">
        <v>0</v>
      </c>
      <c r="AF49" s="168"/>
      <c r="AG49" s="169"/>
      <c r="AH49" s="169"/>
      <c r="AI49" s="169" t="str">
        <f>"     " &amp; TEXT(AE49,"#0.00%") &amp; " " &amp; "Sprint #0 Retrospective" &amp; " " &amp; IF(P49="","",TEXT(P49,"M/D-")) &amp; IF(Q49="","",TEXT(Q49,"M/D")) &amp; " "</f>
        <v xml:space="preserve">     0.00% Sprint #0 Retrospective 10/25-10/25 </v>
      </c>
      <c r="AJ49" s="169"/>
      <c r="AK49" s="169"/>
      <c r="AL49" s="169"/>
      <c r="AM49" s="169"/>
      <c r="AN49" s="169"/>
      <c r="AO49" s="169"/>
      <c r="AP49" s="169"/>
      <c r="AQ49" s="169"/>
      <c r="AR49" s="169"/>
      <c r="AS49" s="169"/>
    </row>
    <row r="50" spans="1:45" ht="12" customHeight="1" outlineLevel="1">
      <c r="A50" s="135"/>
      <c r="B50" s="135" t="s">
        <v>80</v>
      </c>
      <c r="C50" s="135">
        <v>2</v>
      </c>
      <c r="D50" s="165" t="s">
        <v>164</v>
      </c>
      <c r="E50" s="136"/>
      <c r="F50" s="248" t="s">
        <v>165</v>
      </c>
      <c r="G50" s="248"/>
      <c r="H50" s="248"/>
      <c r="I50" s="248"/>
      <c r="J50" s="248"/>
      <c r="K50" s="248"/>
      <c r="L50" s="136"/>
      <c r="M50" s="136"/>
      <c r="N50" s="136"/>
      <c r="O50" s="136"/>
      <c r="P50" s="137">
        <v>45586</v>
      </c>
      <c r="Q50" s="137">
        <v>45639</v>
      </c>
      <c r="R50" s="136"/>
      <c r="S50" s="138">
        <v>194</v>
      </c>
      <c r="T50" s="138">
        <v>194</v>
      </c>
      <c r="U50" s="138">
        <v>40</v>
      </c>
      <c r="V50" s="138">
        <v>40</v>
      </c>
      <c r="W50" s="137"/>
      <c r="X50" s="137"/>
      <c r="Y50" s="139">
        <v>0</v>
      </c>
      <c r="Z50" s="140">
        <v>0</v>
      </c>
      <c r="AA50" s="138"/>
      <c r="AB50" s="136"/>
      <c r="AC50" s="141"/>
      <c r="AD50" s="249">
        <v>1</v>
      </c>
      <c r="AE50" s="210">
        <v>0</v>
      </c>
      <c r="AF50" s="168"/>
      <c r="AG50" s="169"/>
      <c r="AH50" s="169"/>
      <c r="AI50" s="169" t="str">
        <f>" " &amp; TEXT(AE50,"#0.00%") &amp; " "</f>
        <v xml:space="preserve"> 0.00% </v>
      </c>
      <c r="AJ50" s="169"/>
      <c r="AK50" s="169"/>
      <c r="AL50" s="169"/>
      <c r="AM50" s="169"/>
      <c r="AN50" s="169"/>
      <c r="AO50" s="169"/>
      <c r="AP50" s="169" t="str">
        <f>"      " &amp; "DETAIL DESIGN/ DEVELOPMENT" &amp; " " &amp; IF(P50="","",TEXT(P50,"M/D-")) &amp; IF(Q50="","",TEXT(Q50,"M/D")) &amp; " "</f>
        <v xml:space="preserve">      DETAIL DESIGN/ DEVELOPMENT 10/21-12/13 </v>
      </c>
      <c r="AQ50" s="169"/>
      <c r="AR50" s="169"/>
      <c r="AS50" s="169"/>
    </row>
    <row r="51" spans="1:45" ht="12" customHeight="1" outlineLevel="2">
      <c r="A51" s="135"/>
      <c r="B51" s="135" t="s">
        <v>80</v>
      </c>
      <c r="C51" s="135">
        <v>3</v>
      </c>
      <c r="D51" s="165" t="s">
        <v>166</v>
      </c>
      <c r="E51" s="136"/>
      <c r="F51" s="260"/>
      <c r="G51" s="248" t="s">
        <v>167</v>
      </c>
      <c r="H51" s="248"/>
      <c r="I51" s="248"/>
      <c r="J51" s="248"/>
      <c r="K51" s="248"/>
      <c r="L51" s="136"/>
      <c r="M51" s="136"/>
      <c r="N51" s="136"/>
      <c r="O51" s="136"/>
      <c r="P51" s="137">
        <v>45586</v>
      </c>
      <c r="Q51" s="137">
        <v>45597</v>
      </c>
      <c r="R51" s="136"/>
      <c r="S51" s="138">
        <v>32</v>
      </c>
      <c r="T51" s="138">
        <v>32</v>
      </c>
      <c r="U51" s="138">
        <v>10</v>
      </c>
      <c r="V51" s="138">
        <v>10</v>
      </c>
      <c r="W51" s="137"/>
      <c r="X51" s="137"/>
      <c r="Y51" s="139">
        <v>0</v>
      </c>
      <c r="Z51" s="140">
        <v>0</v>
      </c>
      <c r="AA51" s="138"/>
      <c r="AB51" s="136"/>
      <c r="AC51" s="141"/>
      <c r="AD51" s="249">
        <v>1</v>
      </c>
      <c r="AE51" s="210">
        <v>0</v>
      </c>
      <c r="AF51" s="168"/>
      <c r="AG51" s="169"/>
      <c r="AH51" s="169"/>
      <c r="AI51" s="169" t="str">
        <f>" " &amp; TEXT(AE51,"#0.00%") &amp; " " &amp; "Sprint#1" &amp; " " &amp; IF(P51="","",TEXT(P51,"M/D-")) &amp; IF(Q51="","",TEXT(Q51,"M/D")) &amp; " "</f>
        <v xml:space="preserve"> 0.00% Sprint#1 10/21-11/1 </v>
      </c>
      <c r="AJ51" s="169"/>
      <c r="AK51" s="169"/>
      <c r="AL51" s="169"/>
      <c r="AM51" s="169"/>
      <c r="AN51" s="169"/>
      <c r="AO51" s="169"/>
      <c r="AP51" s="169"/>
      <c r="AQ51" s="169"/>
      <c r="AR51" s="169"/>
      <c r="AS51" s="169"/>
    </row>
    <row r="52" spans="1:45" ht="12" customHeight="1" outlineLevel="3">
      <c r="A52" s="135"/>
      <c r="B52" s="135"/>
      <c r="C52" s="135">
        <v>4</v>
      </c>
      <c r="D52" s="250" t="s">
        <v>168</v>
      </c>
      <c r="E52" s="222"/>
      <c r="F52" s="222"/>
      <c r="G52" s="222"/>
      <c r="H52" s="222" t="s">
        <v>169</v>
      </c>
      <c r="I52" s="248"/>
      <c r="J52" s="248"/>
      <c r="K52" s="248"/>
      <c r="L52" s="136"/>
      <c r="M52" s="136"/>
      <c r="N52" s="136"/>
      <c r="O52" s="136"/>
      <c r="P52" s="137">
        <v>45586</v>
      </c>
      <c r="Q52" s="137">
        <v>45587</v>
      </c>
      <c r="R52" s="136"/>
      <c r="S52" s="138">
        <v>2</v>
      </c>
      <c r="T52" s="138">
        <v>2</v>
      </c>
      <c r="U52" s="138">
        <v>2</v>
      </c>
      <c r="V52" s="138">
        <v>2</v>
      </c>
      <c r="W52" s="137">
        <v>45586</v>
      </c>
      <c r="X52" s="137">
        <v>45587</v>
      </c>
      <c r="Y52" s="139">
        <v>2</v>
      </c>
      <c r="Z52" s="140">
        <v>2</v>
      </c>
      <c r="AA52" s="138"/>
      <c r="AB52" s="136"/>
      <c r="AC52" s="141"/>
      <c r="AD52" s="249">
        <v>1</v>
      </c>
      <c r="AE52" s="209">
        <v>0</v>
      </c>
      <c r="AF52" s="168"/>
      <c r="AG52" s="169"/>
      <c r="AH52" s="169"/>
      <c r="AI52" s="169" t="str">
        <f>" " &amp; TEXT(AE52,"#0.00%") &amp; " " &amp; "Sprint (Re)planning" &amp; " " &amp; IF(P52="","",TEXT(P52,"M/D-")) &amp; IF(Q52="","",TEXT(Q52,"M/D")) &amp; " "</f>
        <v xml:space="preserve"> 0.00% Sprint (Re)planning 10/21-10/22 </v>
      </c>
      <c r="AJ52" s="169"/>
      <c r="AK52" s="169"/>
      <c r="AL52" s="169"/>
      <c r="AM52" s="169"/>
      <c r="AN52" s="169"/>
      <c r="AO52" s="169"/>
      <c r="AP52" s="169"/>
      <c r="AQ52" s="169"/>
      <c r="AR52" s="169"/>
      <c r="AS52" s="169"/>
    </row>
    <row r="53" spans="1:45" ht="12" customHeight="1" outlineLevel="3">
      <c r="A53" s="135"/>
      <c r="B53" s="135"/>
      <c r="C53" s="135">
        <v>4</v>
      </c>
      <c r="D53" s="165" t="s">
        <v>170</v>
      </c>
      <c r="E53" s="136"/>
      <c r="F53" s="219"/>
      <c r="G53" s="219"/>
      <c r="H53" s="219" t="s">
        <v>171</v>
      </c>
      <c r="I53" s="224"/>
      <c r="J53" s="224"/>
      <c r="K53" s="224"/>
      <c r="L53" s="224"/>
      <c r="M53" s="224"/>
      <c r="N53" s="136"/>
      <c r="O53" s="136"/>
      <c r="P53" s="137">
        <v>45586</v>
      </c>
      <c r="Q53" s="137">
        <v>45587</v>
      </c>
      <c r="R53" s="136"/>
      <c r="S53" s="138">
        <v>2</v>
      </c>
      <c r="T53" s="138">
        <v>2</v>
      </c>
      <c r="U53" s="138">
        <v>2</v>
      </c>
      <c r="V53" s="138">
        <v>2</v>
      </c>
      <c r="W53" s="137">
        <v>45586</v>
      </c>
      <c r="X53" s="137">
        <v>45587</v>
      </c>
      <c r="Y53" s="139">
        <v>2</v>
      </c>
      <c r="Z53" s="140">
        <v>2</v>
      </c>
      <c r="AA53" s="138"/>
      <c r="AB53" s="136"/>
      <c r="AC53" s="141"/>
      <c r="AD53" s="249">
        <v>1</v>
      </c>
      <c r="AE53" s="209">
        <v>0</v>
      </c>
      <c r="AF53" s="168"/>
      <c r="AG53" s="169"/>
      <c r="AH53" s="169"/>
      <c r="AI53" s="169" t="str">
        <f>" " &amp; TEXT(AE53,"#0.00%") &amp; " " &amp; "Backlog Refinement" &amp; " " &amp; IF(P53="","",TEXT(P53,"M/D-")) &amp; IF(Q53="","",TEXT(Q53,"M/D")) &amp; " "</f>
        <v xml:space="preserve"> 0.00% Backlog Refinement 10/21-10/22 </v>
      </c>
      <c r="AJ53" s="169"/>
      <c r="AK53" s="169"/>
      <c r="AL53" s="169"/>
      <c r="AM53" s="169"/>
      <c r="AN53" s="169"/>
      <c r="AO53" s="169"/>
      <c r="AP53" s="169"/>
      <c r="AQ53" s="169"/>
      <c r="AR53" s="169"/>
      <c r="AS53" s="169"/>
    </row>
    <row r="54" spans="1:45" ht="12" customHeight="1" outlineLevel="3">
      <c r="A54" s="135"/>
      <c r="B54" s="135" t="s">
        <v>80</v>
      </c>
      <c r="C54" s="135">
        <v>4</v>
      </c>
      <c r="D54" s="165" t="s">
        <v>172</v>
      </c>
      <c r="E54" s="136"/>
      <c r="F54" s="219"/>
      <c r="G54" s="219"/>
      <c r="H54" s="219" t="s">
        <v>138</v>
      </c>
      <c r="I54" s="219"/>
      <c r="J54" s="219"/>
      <c r="K54" s="219"/>
      <c r="L54" s="136"/>
      <c r="M54" s="136"/>
      <c r="N54" s="136"/>
      <c r="O54" s="136"/>
      <c r="P54" s="137">
        <v>45586</v>
      </c>
      <c r="Q54" s="137">
        <v>45590</v>
      </c>
      <c r="R54" s="136"/>
      <c r="S54" s="138">
        <v>10</v>
      </c>
      <c r="T54" s="138">
        <v>10</v>
      </c>
      <c r="U54" s="138">
        <v>5</v>
      </c>
      <c r="V54" s="138">
        <v>5</v>
      </c>
      <c r="W54" s="137"/>
      <c r="X54" s="137"/>
      <c r="Y54" s="139">
        <v>0</v>
      </c>
      <c r="Z54" s="140">
        <v>0</v>
      </c>
      <c r="AA54" s="138"/>
      <c r="AB54" s="136"/>
      <c r="AC54" s="141"/>
      <c r="AD54" s="249">
        <v>1</v>
      </c>
      <c r="AE54" s="210">
        <v>0</v>
      </c>
      <c r="AF54" s="168"/>
      <c r="AG54" s="169"/>
      <c r="AH54" s="169"/>
      <c r="AI54" s="169" t="str">
        <f>" " &amp; TEXT(AE54,"#0.00%") &amp; " " &amp; "Detail Design" &amp; " " &amp; IF(P54="","",TEXT(P54,"M/D-")) &amp; IF(Q54="","",TEXT(Q54,"M/D")) &amp; " "</f>
        <v xml:space="preserve"> 0.00% Detail Design 10/21-10/25 </v>
      </c>
      <c r="AJ54" s="169"/>
      <c r="AK54" s="169"/>
      <c r="AL54" s="169"/>
      <c r="AM54" s="169"/>
      <c r="AN54" s="169"/>
      <c r="AO54" s="169"/>
      <c r="AP54" s="169"/>
      <c r="AQ54" s="169"/>
      <c r="AR54" s="169"/>
      <c r="AS54" s="169"/>
    </row>
    <row r="55" spans="1:45" ht="12" customHeight="1" outlineLevel="4">
      <c r="A55" s="135"/>
      <c r="B55" s="135"/>
      <c r="C55" s="135">
        <v>5</v>
      </c>
      <c r="D55" s="165" t="s">
        <v>173</v>
      </c>
      <c r="E55" s="136"/>
      <c r="F55" s="219"/>
      <c r="G55" s="219"/>
      <c r="H55" s="219"/>
      <c r="I55" s="219" t="s">
        <v>174</v>
      </c>
      <c r="J55" s="219"/>
      <c r="K55" s="219"/>
      <c r="L55" s="136"/>
      <c r="M55" s="136"/>
      <c r="N55" s="136"/>
      <c r="O55" s="136"/>
      <c r="P55" s="137">
        <v>45586</v>
      </c>
      <c r="Q55" s="137">
        <v>45590</v>
      </c>
      <c r="R55" s="136"/>
      <c r="S55" s="138">
        <v>5</v>
      </c>
      <c r="T55" s="138">
        <v>5</v>
      </c>
      <c r="U55" s="138">
        <v>5</v>
      </c>
      <c r="V55" s="138">
        <v>5</v>
      </c>
      <c r="W55" s="137">
        <v>45586</v>
      </c>
      <c r="X55" s="137">
        <v>45590</v>
      </c>
      <c r="Y55" s="139">
        <v>5</v>
      </c>
      <c r="Z55" s="140">
        <v>5</v>
      </c>
      <c r="AA55" s="138"/>
      <c r="AB55" s="136"/>
      <c r="AC55" s="141"/>
      <c r="AD55" s="249">
        <v>1</v>
      </c>
      <c r="AE55" s="209">
        <v>0</v>
      </c>
      <c r="AF55" s="168"/>
      <c r="AG55" s="169"/>
      <c r="AH55" s="169"/>
      <c r="AI55" s="169" t="str">
        <f>" " &amp; TEXT(AE55,"#0.00%") &amp; " " &amp; "Sprint#1 screen design update(if any)" &amp; " " &amp; IF(P55="","",TEXT(P55,"M/D-")) &amp; IF(Q55="","",TEXT(Q55,"M/D")) &amp; " "</f>
        <v xml:space="preserve"> 0.00% Sprint#1 screen design update(if any) 10/21-10/25 </v>
      </c>
      <c r="AJ55" s="169"/>
      <c r="AK55" s="169"/>
      <c r="AL55" s="169"/>
      <c r="AM55" s="169"/>
      <c r="AN55" s="169"/>
      <c r="AO55" s="169"/>
      <c r="AP55" s="169"/>
      <c r="AQ55" s="169"/>
      <c r="AR55" s="169"/>
      <c r="AS55" s="169"/>
    </row>
    <row r="56" spans="1:45" ht="12" customHeight="1" outlineLevel="4">
      <c r="A56" s="135"/>
      <c r="B56" s="135"/>
      <c r="C56" s="135">
        <v>5</v>
      </c>
      <c r="D56" s="165" t="s">
        <v>175</v>
      </c>
      <c r="E56" s="136"/>
      <c r="F56" s="219"/>
      <c r="G56" s="219"/>
      <c r="H56" s="219"/>
      <c r="I56" s="219" t="s">
        <v>176</v>
      </c>
      <c r="J56" s="219"/>
      <c r="K56" s="219"/>
      <c r="L56" s="136"/>
      <c r="M56" s="136"/>
      <c r="N56" s="136"/>
      <c r="O56" s="136"/>
      <c r="P56" s="137">
        <v>45586</v>
      </c>
      <c r="Q56" s="137">
        <v>45590</v>
      </c>
      <c r="R56" s="136"/>
      <c r="S56" s="138">
        <v>5</v>
      </c>
      <c r="T56" s="138">
        <v>5</v>
      </c>
      <c r="U56" s="138">
        <v>5</v>
      </c>
      <c r="V56" s="138">
        <v>5</v>
      </c>
      <c r="W56" s="137">
        <v>45586</v>
      </c>
      <c r="X56" s="137">
        <v>45590</v>
      </c>
      <c r="Y56" s="139">
        <v>5</v>
      </c>
      <c r="Z56" s="140">
        <v>5</v>
      </c>
      <c r="AA56" s="138"/>
      <c r="AB56" s="136"/>
      <c r="AC56" s="141"/>
      <c r="AD56" s="249">
        <v>1</v>
      </c>
      <c r="AE56" s="209">
        <v>0</v>
      </c>
      <c r="AF56" s="168"/>
      <c r="AG56" s="169"/>
      <c r="AH56" s="169"/>
      <c r="AI56" s="169" t="str">
        <f>" " &amp; TEXT(AE56,"#0.00%") &amp; " " &amp; "Sprint#2 screen design" &amp; " " &amp; IF(P56="","",TEXT(P56,"M/D-")) &amp; IF(Q56="","",TEXT(Q56,"M/D")) &amp; " "</f>
        <v xml:space="preserve"> 0.00% Sprint#2 screen design 10/21-10/25 </v>
      </c>
      <c r="AJ56" s="169"/>
      <c r="AK56" s="169"/>
      <c r="AL56" s="169"/>
      <c r="AM56" s="169"/>
      <c r="AN56" s="169"/>
      <c r="AO56" s="169"/>
      <c r="AP56" s="169"/>
      <c r="AQ56" s="169"/>
      <c r="AR56" s="169"/>
      <c r="AS56" s="169"/>
    </row>
    <row r="57" spans="1:45" ht="12" customHeight="1" outlineLevel="3">
      <c r="A57" s="135"/>
      <c r="B57" s="135" t="s">
        <v>80</v>
      </c>
      <c r="C57" s="135">
        <v>4</v>
      </c>
      <c r="D57" s="165" t="s">
        <v>177</v>
      </c>
      <c r="E57" s="136"/>
      <c r="F57" s="248"/>
      <c r="G57" s="248"/>
      <c r="H57" s="248" t="s">
        <v>178</v>
      </c>
      <c r="I57" s="248"/>
      <c r="J57" s="248"/>
      <c r="K57" s="248"/>
      <c r="L57" s="136"/>
      <c r="M57" s="136"/>
      <c r="N57" s="136"/>
      <c r="O57" s="243" t="s">
        <v>179</v>
      </c>
      <c r="P57" s="137">
        <v>45589</v>
      </c>
      <c r="Q57" s="137">
        <v>45597</v>
      </c>
      <c r="R57" s="136"/>
      <c r="S57" s="138">
        <v>16</v>
      </c>
      <c r="T57" s="138">
        <v>16</v>
      </c>
      <c r="U57" s="138">
        <v>7</v>
      </c>
      <c r="V57" s="138">
        <v>7</v>
      </c>
      <c r="W57" s="137"/>
      <c r="X57" s="137"/>
      <c r="Y57" s="139">
        <v>0</v>
      </c>
      <c r="Z57" s="140">
        <v>0</v>
      </c>
      <c r="AA57" s="138"/>
      <c r="AB57" s="136"/>
      <c r="AC57" s="141"/>
      <c r="AD57" s="249">
        <v>1</v>
      </c>
      <c r="AE57" s="210">
        <v>0</v>
      </c>
      <c r="AF57" s="168"/>
      <c r="AG57" s="169"/>
      <c r="AH57" s="169"/>
      <c r="AI57" s="169" t="str">
        <f>"    " &amp; TEXT(AE57,"#0.00%") &amp; " " &amp; "Development" &amp; " " &amp; IF(P57="","",TEXT(P57,"M/D-")) &amp; IF(Q57="","",TEXT(Q57,"M/D")) &amp; " "</f>
        <v xml:space="preserve">    0.00% Development 10/24-11/1 </v>
      </c>
      <c r="AJ57" s="169"/>
      <c r="AK57" s="169"/>
      <c r="AL57" s="169"/>
      <c r="AM57" s="169"/>
      <c r="AN57" s="169"/>
      <c r="AO57" s="169"/>
      <c r="AP57" s="169"/>
      <c r="AQ57" s="169"/>
      <c r="AR57" s="169"/>
      <c r="AS57" s="169"/>
    </row>
    <row r="58" spans="1:45" ht="12" customHeight="1" outlineLevel="4">
      <c r="A58" s="135"/>
      <c r="B58" s="135"/>
      <c r="C58" s="135">
        <v>5</v>
      </c>
      <c r="D58" s="165" t="s">
        <v>180</v>
      </c>
      <c r="E58" s="136"/>
      <c r="F58" s="136"/>
      <c r="G58" s="136"/>
      <c r="H58" s="136"/>
      <c r="I58" s="219" t="s">
        <v>181</v>
      </c>
      <c r="J58" s="136"/>
      <c r="K58" s="136"/>
      <c r="L58" s="136"/>
      <c r="M58" s="136"/>
      <c r="N58" s="136"/>
      <c r="O58" s="136"/>
      <c r="P58" s="137">
        <v>45589</v>
      </c>
      <c r="Q58" s="137">
        <v>45595</v>
      </c>
      <c r="R58" s="136"/>
      <c r="S58" s="138">
        <v>5</v>
      </c>
      <c r="T58" s="138">
        <v>5</v>
      </c>
      <c r="U58" s="138">
        <v>5</v>
      </c>
      <c r="V58" s="138">
        <v>5</v>
      </c>
      <c r="W58" s="137">
        <v>45589</v>
      </c>
      <c r="X58" s="137">
        <v>45595</v>
      </c>
      <c r="Y58" s="139">
        <v>5</v>
      </c>
      <c r="Z58" s="140">
        <v>5</v>
      </c>
      <c r="AA58" s="138"/>
      <c r="AB58" s="136"/>
      <c r="AC58" s="141"/>
      <c r="AD58" s="249">
        <v>1</v>
      </c>
      <c r="AE58" s="209">
        <v>0</v>
      </c>
      <c r="AF58" s="168"/>
      <c r="AG58" s="169"/>
      <c r="AH58" s="169"/>
      <c r="AI58" s="169" t="str">
        <f>"    " &amp; TEXT(AE58,"#0.00%") &amp; " " &amp; "CMS020402 Content creation" &amp; " " &amp; IF(P58="","",TEXT(P58,"M/D-")) &amp; IF(Q58="","",TEXT(Q58,"M/D")) &amp; " "</f>
        <v xml:space="preserve">    0.00% CMS020402 Content creation 10/24-10/30 </v>
      </c>
      <c r="AJ58" s="169"/>
      <c r="AK58" s="169"/>
      <c r="AL58" s="169"/>
      <c r="AM58" s="169"/>
      <c r="AN58" s="169"/>
      <c r="AO58" s="169"/>
      <c r="AP58" s="169"/>
      <c r="AQ58" s="169"/>
      <c r="AR58" s="169"/>
      <c r="AS58" s="169"/>
    </row>
    <row r="59" spans="1:45" ht="12" customHeight="1" outlineLevel="4">
      <c r="A59" s="135"/>
      <c r="B59" s="135"/>
      <c r="C59" s="135">
        <v>5</v>
      </c>
      <c r="D59" s="165" t="s">
        <v>182</v>
      </c>
      <c r="E59" s="136"/>
      <c r="F59" s="136"/>
      <c r="G59" s="136"/>
      <c r="H59" s="136"/>
      <c r="I59" s="219" t="s">
        <v>183</v>
      </c>
      <c r="J59" s="136"/>
      <c r="K59" s="136"/>
      <c r="L59" s="136"/>
      <c r="M59" s="136"/>
      <c r="N59" s="136"/>
      <c r="O59" s="136"/>
      <c r="P59" s="137">
        <v>45589</v>
      </c>
      <c r="Q59" s="137">
        <v>45595</v>
      </c>
      <c r="R59" s="136"/>
      <c r="S59" s="138">
        <v>5</v>
      </c>
      <c r="T59" s="138">
        <v>5</v>
      </c>
      <c r="U59" s="138">
        <v>5</v>
      </c>
      <c r="V59" s="138">
        <v>5</v>
      </c>
      <c r="W59" s="137">
        <v>45589</v>
      </c>
      <c r="X59" s="137">
        <v>45595</v>
      </c>
      <c r="Y59" s="139">
        <v>5</v>
      </c>
      <c r="Z59" s="140">
        <v>5</v>
      </c>
      <c r="AA59" s="138"/>
      <c r="AB59" s="136"/>
      <c r="AC59" s="141"/>
      <c r="AD59" s="249">
        <v>1</v>
      </c>
      <c r="AE59" s="209">
        <v>0</v>
      </c>
      <c r="AF59" s="168"/>
      <c r="AG59" s="169"/>
      <c r="AH59" s="169"/>
      <c r="AI59" s="169" t="str">
        <f>"    " &amp; TEXT(AE59,"#0.00%") &amp; " " &amp; "CMS020401 Content list" &amp; " " &amp; IF(P59="","",TEXT(P59,"M/D-")) &amp; IF(Q59="","",TEXT(Q59,"M/D")) &amp; " "</f>
        <v xml:space="preserve">    0.00% CMS020401 Content list 10/24-10/30 </v>
      </c>
      <c r="AJ59" s="169"/>
      <c r="AK59" s="169"/>
      <c r="AL59" s="169"/>
      <c r="AM59" s="169"/>
      <c r="AN59" s="169"/>
      <c r="AO59" s="169"/>
      <c r="AP59" s="169"/>
      <c r="AQ59" s="169"/>
      <c r="AR59" s="169"/>
      <c r="AS59" s="169"/>
    </row>
    <row r="60" spans="1:45" ht="12" customHeight="1" outlineLevel="4">
      <c r="A60" s="135"/>
      <c r="B60" s="135"/>
      <c r="C60" s="135">
        <v>5</v>
      </c>
      <c r="D60" s="165" t="s">
        <v>184</v>
      </c>
      <c r="E60" s="136"/>
      <c r="F60" s="136"/>
      <c r="G60" s="136"/>
      <c r="H60" s="136"/>
      <c r="I60" s="219" t="s">
        <v>185</v>
      </c>
      <c r="J60" s="136"/>
      <c r="K60" s="136"/>
      <c r="L60" s="136"/>
      <c r="M60" s="136"/>
      <c r="N60" s="136"/>
      <c r="O60" s="136"/>
      <c r="P60" s="137">
        <v>45595</v>
      </c>
      <c r="Q60" s="137">
        <v>45597</v>
      </c>
      <c r="R60" s="136"/>
      <c r="S60" s="138">
        <v>3</v>
      </c>
      <c r="T60" s="138">
        <v>3</v>
      </c>
      <c r="U60" s="138">
        <v>3</v>
      </c>
      <c r="V60" s="138">
        <v>3</v>
      </c>
      <c r="W60" s="137">
        <v>45595</v>
      </c>
      <c r="X60" s="137">
        <v>45597</v>
      </c>
      <c r="Y60" s="139">
        <v>3</v>
      </c>
      <c r="Z60" s="140">
        <v>3</v>
      </c>
      <c r="AA60" s="138"/>
      <c r="AB60" s="136"/>
      <c r="AC60" s="141"/>
      <c r="AD60" s="249">
        <v>1</v>
      </c>
      <c r="AE60" s="209">
        <v>0</v>
      </c>
      <c r="AF60" s="168"/>
      <c r="AG60" s="169"/>
      <c r="AH60" s="169"/>
      <c r="AI60" s="169"/>
      <c r="AJ60" s="169" t="str">
        <f>"   " &amp; TEXT(AE60,"#0.00%") &amp; " " &amp; "CMS020404 Content detail" &amp; " " &amp; IF(P60="","",TEXT(P60,"M/D-")) &amp; IF(Q60="","",TEXT(Q60,"M/D")) &amp; " "</f>
        <v xml:space="preserve">   0.00% CMS020404 Content detail 10/30-11/1 </v>
      </c>
      <c r="AK60" s="169"/>
      <c r="AL60" s="169"/>
      <c r="AM60" s="169"/>
      <c r="AN60" s="169"/>
      <c r="AO60" s="169"/>
      <c r="AP60" s="169"/>
      <c r="AQ60" s="169"/>
      <c r="AR60" s="169"/>
      <c r="AS60" s="169"/>
    </row>
    <row r="61" spans="1:45" ht="12" customHeight="1" outlineLevel="4">
      <c r="A61" s="135"/>
      <c r="B61" s="135"/>
      <c r="C61" s="135">
        <v>5</v>
      </c>
      <c r="D61" s="165" t="s">
        <v>186</v>
      </c>
      <c r="E61" s="136"/>
      <c r="F61" s="136"/>
      <c r="G61" s="136"/>
      <c r="H61" s="136"/>
      <c r="I61" s="219" t="s">
        <v>187</v>
      </c>
      <c r="J61" s="136"/>
      <c r="K61" s="136"/>
      <c r="L61" s="136"/>
      <c r="M61" s="136"/>
      <c r="N61" s="136"/>
      <c r="O61" s="136"/>
      <c r="P61" s="137">
        <v>45595</v>
      </c>
      <c r="Q61" s="137">
        <v>45597</v>
      </c>
      <c r="R61" s="136"/>
      <c r="S61" s="138">
        <v>3</v>
      </c>
      <c r="T61" s="138">
        <v>3</v>
      </c>
      <c r="U61" s="138">
        <v>3</v>
      </c>
      <c r="V61" s="138">
        <v>3</v>
      </c>
      <c r="W61" s="137">
        <v>45595</v>
      </c>
      <c r="X61" s="137">
        <v>45597</v>
      </c>
      <c r="Y61" s="139">
        <v>3</v>
      </c>
      <c r="Z61" s="140">
        <v>3</v>
      </c>
      <c r="AA61" s="138"/>
      <c r="AB61" s="136"/>
      <c r="AC61" s="141"/>
      <c r="AD61" s="249">
        <v>1</v>
      </c>
      <c r="AE61" s="209">
        <v>0</v>
      </c>
      <c r="AF61" s="168"/>
      <c r="AG61" s="169"/>
      <c r="AH61" s="169"/>
      <c r="AI61" s="169"/>
      <c r="AJ61" s="169" t="str">
        <f>"   " &amp; TEXT(AE61,"#0.00%") &amp; " " &amp; "CMS020403 Content update" &amp; " " &amp; IF(P61="","",TEXT(P61,"M/D-")) &amp; IF(Q61="","",TEXT(Q61,"M/D")) &amp; " "</f>
        <v xml:space="preserve">   0.00% CMS020403 Content update 10/30-11/1 </v>
      </c>
      <c r="AK61" s="169"/>
      <c r="AL61" s="169"/>
      <c r="AM61" s="169"/>
      <c r="AN61" s="169"/>
      <c r="AO61" s="169"/>
      <c r="AP61" s="169"/>
      <c r="AQ61" s="169"/>
      <c r="AR61" s="169"/>
      <c r="AS61" s="169"/>
    </row>
    <row r="62" spans="1:45" ht="12" customHeight="1" outlineLevel="3">
      <c r="A62" s="135"/>
      <c r="B62" s="135"/>
      <c r="C62" s="135">
        <v>4</v>
      </c>
      <c r="D62" s="245" t="s">
        <v>188</v>
      </c>
      <c r="E62" s="216"/>
      <c r="F62" s="222"/>
      <c r="G62" s="222"/>
      <c r="H62" s="222" t="s">
        <v>189</v>
      </c>
      <c r="I62" s="222"/>
      <c r="J62" s="222"/>
      <c r="K62" s="222"/>
      <c r="L62" s="216"/>
      <c r="M62" s="216"/>
      <c r="N62" s="216"/>
      <c r="O62" s="216"/>
      <c r="P62" s="261">
        <v>45597</v>
      </c>
      <c r="Q62" s="261">
        <v>45597</v>
      </c>
      <c r="R62" s="243"/>
      <c r="S62" s="262">
        <v>1</v>
      </c>
      <c r="T62" s="262">
        <v>1</v>
      </c>
      <c r="U62" s="262">
        <v>1</v>
      </c>
      <c r="V62" s="262">
        <v>1</v>
      </c>
      <c r="W62" s="261">
        <v>45597</v>
      </c>
      <c r="X62" s="261">
        <v>45597</v>
      </c>
      <c r="Y62" s="263">
        <v>1</v>
      </c>
      <c r="Z62" s="264">
        <v>1</v>
      </c>
      <c r="AA62" s="262"/>
      <c r="AB62" s="243"/>
      <c r="AC62" s="265"/>
      <c r="AD62" s="266">
        <v>1</v>
      </c>
      <c r="AE62" s="209">
        <v>0</v>
      </c>
      <c r="AF62" s="168"/>
      <c r="AG62" s="169"/>
      <c r="AH62" s="169"/>
      <c r="AI62" s="169"/>
      <c r="AJ62" s="169" t="str">
        <f>"     " &amp; TEXT(AE62,"#0.00%") &amp; " " &amp; "Sprint Review" &amp; " " &amp; IF(P62="","",TEXT(P62,"M/D-")) &amp; IF(Q62="","",TEXT(Q62,"M/D")) &amp; " "</f>
        <v xml:space="preserve">     0.00% Sprint Review 11/1-11/1 </v>
      </c>
      <c r="AK62" s="169"/>
      <c r="AL62" s="169"/>
      <c r="AM62" s="169"/>
      <c r="AN62" s="169"/>
      <c r="AO62" s="169"/>
      <c r="AP62" s="169"/>
      <c r="AQ62" s="169"/>
      <c r="AR62" s="169"/>
      <c r="AS62" s="169"/>
    </row>
    <row r="63" spans="1:45" ht="12" customHeight="1" outlineLevel="3">
      <c r="A63" s="135"/>
      <c r="B63" s="135"/>
      <c r="C63" s="135">
        <v>4</v>
      </c>
      <c r="D63" s="245" t="s">
        <v>190</v>
      </c>
      <c r="E63" s="216"/>
      <c r="F63" s="222"/>
      <c r="G63" s="222"/>
      <c r="H63" s="222" t="s">
        <v>191</v>
      </c>
      <c r="I63" s="222"/>
      <c r="J63" s="222"/>
      <c r="K63" s="222"/>
      <c r="L63" s="216"/>
      <c r="M63" s="216"/>
      <c r="N63" s="216"/>
      <c r="O63" s="216"/>
      <c r="P63" s="261">
        <v>45597</v>
      </c>
      <c r="Q63" s="261">
        <v>45597</v>
      </c>
      <c r="R63" s="243"/>
      <c r="S63" s="262">
        <v>1</v>
      </c>
      <c r="T63" s="262">
        <v>1</v>
      </c>
      <c r="U63" s="262">
        <v>1</v>
      </c>
      <c r="V63" s="262">
        <v>1</v>
      </c>
      <c r="W63" s="261">
        <v>45597</v>
      </c>
      <c r="X63" s="261">
        <v>45597</v>
      </c>
      <c r="Y63" s="263">
        <v>1</v>
      </c>
      <c r="Z63" s="264">
        <v>1</v>
      </c>
      <c r="AA63" s="262"/>
      <c r="AB63" s="243"/>
      <c r="AC63" s="265"/>
      <c r="AD63" s="266">
        <v>1</v>
      </c>
      <c r="AE63" s="209">
        <v>0</v>
      </c>
      <c r="AF63" s="168"/>
      <c r="AG63" s="169"/>
      <c r="AH63" s="169"/>
      <c r="AI63" s="169"/>
      <c r="AJ63" s="169" t="str">
        <f>"     " &amp; TEXT(AE63,"#0.00%") &amp; " " &amp; "Sprint Retrospective" &amp; " " &amp; IF(P63="","",TEXT(P63,"M/D-")) &amp; IF(Q63="","",TEXT(Q63,"M/D")) &amp; " "</f>
        <v xml:space="preserve">     0.00% Sprint Retrospective 11/1-11/1 </v>
      </c>
      <c r="AK63" s="169"/>
      <c r="AL63" s="169"/>
      <c r="AM63" s="169"/>
      <c r="AN63" s="169"/>
      <c r="AO63" s="169"/>
      <c r="AP63" s="169"/>
      <c r="AQ63" s="169"/>
      <c r="AR63" s="169"/>
      <c r="AS63" s="169"/>
    </row>
    <row r="64" spans="1:45" ht="12" customHeight="1" outlineLevel="2">
      <c r="A64" s="135"/>
      <c r="B64" s="135" t="s">
        <v>80</v>
      </c>
      <c r="C64" s="135">
        <v>3</v>
      </c>
      <c r="D64" s="165" t="s">
        <v>192</v>
      </c>
      <c r="E64" s="136"/>
      <c r="F64" s="260"/>
      <c r="G64" s="248" t="s">
        <v>193</v>
      </c>
      <c r="H64" s="248"/>
      <c r="I64" s="248"/>
      <c r="J64" s="248"/>
      <c r="K64" s="248"/>
      <c r="L64" s="136"/>
      <c r="M64" s="136"/>
      <c r="N64" s="136"/>
      <c r="O64" s="136"/>
      <c r="P64" s="137">
        <v>45600</v>
      </c>
      <c r="Q64" s="137">
        <v>45611</v>
      </c>
      <c r="R64" s="136"/>
      <c r="S64" s="138">
        <v>45</v>
      </c>
      <c r="T64" s="138">
        <v>45</v>
      </c>
      <c r="U64" s="138">
        <v>10</v>
      </c>
      <c r="V64" s="138">
        <v>10</v>
      </c>
      <c r="W64" s="137"/>
      <c r="X64" s="137"/>
      <c r="Y64" s="139">
        <v>0</v>
      </c>
      <c r="Z64" s="140">
        <v>0</v>
      </c>
      <c r="AA64" s="138"/>
      <c r="AB64" s="136"/>
      <c r="AC64" s="141"/>
      <c r="AD64" s="249">
        <v>1</v>
      </c>
      <c r="AE64" s="210">
        <v>0</v>
      </c>
      <c r="AF64" s="168"/>
      <c r="AG64" s="169"/>
      <c r="AH64" s="169"/>
      <c r="AI64" s="169"/>
      <c r="AJ64" s="169"/>
      <c r="AK64" s="169" t="str">
        <f>" " &amp; TEXT(AE64,"#0.00%") &amp; " " &amp; "Sprint#2" &amp; " " &amp; IF(P64="","",TEXT(P64,"M/D-")) &amp; IF(Q64="","",TEXT(Q64,"M/D")) &amp; " "</f>
        <v xml:space="preserve"> 0.00% Sprint#2 11/4-11/15 </v>
      </c>
      <c r="AL64" s="169"/>
      <c r="AM64" s="169"/>
      <c r="AN64" s="169"/>
      <c r="AO64" s="169"/>
      <c r="AP64" s="169"/>
      <c r="AQ64" s="169"/>
      <c r="AR64" s="169"/>
      <c r="AS64" s="169"/>
    </row>
    <row r="65" spans="1:45" s="247" customFormat="1" ht="12" customHeight="1" outlineLevel="3">
      <c r="A65" s="246"/>
      <c r="B65" s="246"/>
      <c r="C65" s="246">
        <v>4</v>
      </c>
      <c r="D65" s="250" t="s">
        <v>194</v>
      </c>
      <c r="E65" s="222"/>
      <c r="F65" s="222"/>
      <c r="G65" s="222"/>
      <c r="H65" s="222" t="s">
        <v>169</v>
      </c>
      <c r="I65" s="222"/>
      <c r="J65" s="222"/>
      <c r="K65" s="222"/>
      <c r="L65" s="216"/>
      <c r="M65" s="216"/>
      <c r="N65" s="216"/>
      <c r="O65" s="216"/>
      <c r="P65" s="218">
        <v>45600</v>
      </c>
      <c r="Q65" s="218">
        <v>45600</v>
      </c>
      <c r="R65" s="216"/>
      <c r="S65" s="232">
        <v>1</v>
      </c>
      <c r="T65" s="232">
        <v>1</v>
      </c>
      <c r="U65" s="232">
        <v>1</v>
      </c>
      <c r="V65" s="232">
        <v>1</v>
      </c>
      <c r="W65" s="218">
        <v>45600</v>
      </c>
      <c r="X65" s="218">
        <v>45600</v>
      </c>
      <c r="Y65" s="233">
        <v>1</v>
      </c>
      <c r="Z65" s="234">
        <v>1</v>
      </c>
      <c r="AA65" s="232"/>
      <c r="AB65" s="216"/>
      <c r="AC65" s="235"/>
      <c r="AD65" s="251">
        <v>1</v>
      </c>
      <c r="AE65" s="209">
        <v>0</v>
      </c>
      <c r="AF65" s="168"/>
      <c r="AG65" s="169"/>
      <c r="AH65" s="169"/>
      <c r="AI65" s="169"/>
      <c r="AJ65" s="169"/>
      <c r="AK65" s="169" t="str">
        <f>" " &amp; TEXT(AE65,"#0.00%") &amp; " " &amp; "Sprint (Re)planning" &amp; " " &amp; IF(P65="","",TEXT(P65,"M/D-")) &amp; IF(Q65="","",TEXT(Q65,"M/D")) &amp; " "</f>
        <v xml:space="preserve"> 0.00% Sprint (Re)planning 11/4-11/4 </v>
      </c>
      <c r="AL65" s="169"/>
      <c r="AM65" s="169"/>
      <c r="AN65" s="169"/>
      <c r="AO65" s="169"/>
      <c r="AP65" s="169"/>
      <c r="AQ65" s="169"/>
      <c r="AR65" s="169"/>
      <c r="AS65" s="169"/>
    </row>
    <row r="66" spans="1:45" s="247" customFormat="1" ht="12" customHeight="1" outlineLevel="3">
      <c r="A66" s="246"/>
      <c r="B66" s="246"/>
      <c r="C66" s="246">
        <v>4</v>
      </c>
      <c r="D66" s="250" t="s">
        <v>195</v>
      </c>
      <c r="E66" s="222"/>
      <c r="F66" s="222"/>
      <c r="G66" s="222"/>
      <c r="H66" s="222" t="s">
        <v>171</v>
      </c>
      <c r="I66" s="252"/>
      <c r="J66" s="222"/>
      <c r="K66" s="222"/>
      <c r="L66" s="216"/>
      <c r="M66" s="216"/>
      <c r="N66" s="216"/>
      <c r="O66" s="216"/>
      <c r="P66" s="218">
        <v>45600</v>
      </c>
      <c r="Q66" s="218">
        <v>45600</v>
      </c>
      <c r="R66" s="216"/>
      <c r="S66" s="232">
        <v>1</v>
      </c>
      <c r="T66" s="232">
        <v>1</v>
      </c>
      <c r="U66" s="232">
        <v>1</v>
      </c>
      <c r="V66" s="232">
        <v>1</v>
      </c>
      <c r="W66" s="218">
        <v>45600</v>
      </c>
      <c r="X66" s="218">
        <v>45600</v>
      </c>
      <c r="Y66" s="233">
        <v>1</v>
      </c>
      <c r="Z66" s="234">
        <v>1</v>
      </c>
      <c r="AA66" s="232"/>
      <c r="AB66" s="216"/>
      <c r="AC66" s="235"/>
      <c r="AD66" s="251">
        <v>1</v>
      </c>
      <c r="AE66" s="209">
        <v>0</v>
      </c>
      <c r="AF66" s="168"/>
      <c r="AG66" s="169"/>
      <c r="AH66" s="169"/>
      <c r="AI66" s="169"/>
      <c r="AJ66" s="169"/>
      <c r="AK66" s="169" t="str">
        <f>" " &amp; TEXT(AE66,"#0.00%") &amp; " " &amp; "Backlog Refinement" &amp; " " &amp; IF(P66="","",TEXT(P66,"M/D-")) &amp; IF(Q66="","",TEXT(Q66,"M/D")) &amp; " "</f>
        <v xml:space="preserve"> 0.00% Backlog Refinement 11/4-11/4 </v>
      </c>
      <c r="AL66" s="169"/>
      <c r="AM66" s="169"/>
      <c r="AN66" s="169"/>
      <c r="AO66" s="169"/>
      <c r="AP66" s="169"/>
      <c r="AQ66" s="169"/>
      <c r="AR66" s="169"/>
      <c r="AS66" s="169"/>
    </row>
    <row r="67" spans="1:45" ht="12" customHeight="1" outlineLevel="3">
      <c r="A67" s="135"/>
      <c r="B67" s="135" t="s">
        <v>80</v>
      </c>
      <c r="C67" s="135">
        <v>4</v>
      </c>
      <c r="D67" s="165" t="s">
        <v>196</v>
      </c>
      <c r="E67" s="136"/>
      <c r="F67" s="136"/>
      <c r="G67" s="136"/>
      <c r="H67" s="219" t="s">
        <v>138</v>
      </c>
      <c r="I67" s="219"/>
      <c r="J67" s="136"/>
      <c r="K67" s="136"/>
      <c r="L67" s="136"/>
      <c r="M67" s="136"/>
      <c r="N67" s="136"/>
      <c r="O67" s="136"/>
      <c r="P67" s="137">
        <v>45600</v>
      </c>
      <c r="Q67" s="137">
        <v>45611</v>
      </c>
      <c r="R67" s="136"/>
      <c r="S67" s="138">
        <v>15</v>
      </c>
      <c r="T67" s="138">
        <v>15</v>
      </c>
      <c r="U67" s="138">
        <v>10</v>
      </c>
      <c r="V67" s="138">
        <v>10</v>
      </c>
      <c r="W67" s="137"/>
      <c r="X67" s="137"/>
      <c r="Y67" s="139">
        <v>0</v>
      </c>
      <c r="Z67" s="140">
        <v>0</v>
      </c>
      <c r="AA67" s="138"/>
      <c r="AB67" s="136"/>
      <c r="AC67" s="141"/>
      <c r="AD67" s="164">
        <v>1</v>
      </c>
      <c r="AE67" s="210">
        <v>0</v>
      </c>
      <c r="AF67" s="168"/>
      <c r="AG67" s="169"/>
      <c r="AH67" s="169"/>
      <c r="AI67" s="169"/>
      <c r="AJ67" s="169"/>
      <c r="AK67" s="169" t="str">
        <f>" " &amp; TEXT(AE67,"#0.00%") &amp; " " &amp; "Detail Design" &amp; " " &amp; IF(P67="","",TEXT(P67,"M/D-")) &amp; IF(Q67="","",TEXT(Q67,"M/D")) &amp; " "</f>
        <v xml:space="preserve"> 0.00% Detail Design 11/4-11/15 </v>
      </c>
      <c r="AL67" s="169"/>
      <c r="AM67" s="169"/>
      <c r="AN67" s="169"/>
      <c r="AO67" s="169"/>
      <c r="AP67" s="169"/>
      <c r="AQ67" s="169"/>
      <c r="AR67" s="169"/>
      <c r="AS67" s="169"/>
    </row>
    <row r="68" spans="1:45" ht="12" customHeight="1" outlineLevel="4">
      <c r="A68" s="135"/>
      <c r="B68" s="135"/>
      <c r="C68" s="135">
        <v>5</v>
      </c>
      <c r="D68" s="165" t="s">
        <v>197</v>
      </c>
      <c r="E68" s="136"/>
      <c r="F68" s="219"/>
      <c r="G68" s="219"/>
      <c r="H68" s="219"/>
      <c r="I68" s="219" t="s">
        <v>198</v>
      </c>
      <c r="J68" s="219"/>
      <c r="K68" s="219"/>
      <c r="L68" s="136"/>
      <c r="M68" s="136"/>
      <c r="N68" s="136"/>
      <c r="O68" s="136"/>
      <c r="P68" s="137">
        <v>45600</v>
      </c>
      <c r="Q68" s="137">
        <v>45604</v>
      </c>
      <c r="R68" s="136"/>
      <c r="S68" s="138">
        <v>5</v>
      </c>
      <c r="T68" s="138">
        <v>5</v>
      </c>
      <c r="U68" s="138">
        <v>5</v>
      </c>
      <c r="V68" s="138">
        <v>5</v>
      </c>
      <c r="W68" s="137">
        <v>45600</v>
      </c>
      <c r="X68" s="137">
        <v>45604</v>
      </c>
      <c r="Y68" s="139">
        <v>5</v>
      </c>
      <c r="Z68" s="140">
        <v>5</v>
      </c>
      <c r="AA68" s="138"/>
      <c r="AB68" s="136"/>
      <c r="AC68" s="141"/>
      <c r="AD68" s="164">
        <v>1</v>
      </c>
      <c r="AE68" s="209">
        <v>0</v>
      </c>
      <c r="AF68" s="168"/>
      <c r="AG68" s="169"/>
      <c r="AH68" s="169"/>
      <c r="AI68" s="169"/>
      <c r="AJ68" s="169"/>
      <c r="AK68" s="169" t="str">
        <f>" " &amp; TEXT(AE68,"#0.00%") &amp; " " &amp; "Sprint#2 screen design update(if any)" &amp; " " &amp; IF(P68="","",TEXT(P68,"M/D-")) &amp; IF(Q68="","",TEXT(Q68,"M/D")) &amp; " "</f>
        <v xml:space="preserve"> 0.00% Sprint#2 screen design update(if any) 11/4-11/8 </v>
      </c>
      <c r="AL68" s="169"/>
      <c r="AM68" s="169"/>
      <c r="AN68" s="169"/>
      <c r="AO68" s="169"/>
      <c r="AP68" s="169"/>
      <c r="AQ68" s="169"/>
      <c r="AR68" s="169"/>
      <c r="AS68" s="169"/>
    </row>
    <row r="69" spans="1:45" ht="12" customHeight="1" outlineLevel="4">
      <c r="A69" s="135"/>
      <c r="B69" s="135"/>
      <c r="C69" s="135">
        <v>5</v>
      </c>
      <c r="D69" s="165" t="s">
        <v>199</v>
      </c>
      <c r="E69" s="136"/>
      <c r="F69" s="219"/>
      <c r="G69" s="219"/>
      <c r="H69" s="219"/>
      <c r="I69" s="219" t="s">
        <v>200</v>
      </c>
      <c r="J69" s="219"/>
      <c r="K69" s="219"/>
      <c r="L69" s="136"/>
      <c r="M69" s="136"/>
      <c r="N69" s="136"/>
      <c r="O69" s="136"/>
      <c r="P69" s="137">
        <v>45600</v>
      </c>
      <c r="Q69" s="137">
        <v>45611</v>
      </c>
      <c r="R69" s="136"/>
      <c r="S69" s="138">
        <v>10</v>
      </c>
      <c r="T69" s="138">
        <v>10</v>
      </c>
      <c r="U69" s="138">
        <v>10</v>
      </c>
      <c r="V69" s="138">
        <v>10</v>
      </c>
      <c r="W69" s="137">
        <v>45600</v>
      </c>
      <c r="X69" s="137">
        <v>45611</v>
      </c>
      <c r="Y69" s="139">
        <v>10</v>
      </c>
      <c r="Z69" s="140">
        <v>10</v>
      </c>
      <c r="AA69" s="138"/>
      <c r="AB69" s="136"/>
      <c r="AC69" s="141"/>
      <c r="AD69" s="164">
        <v>1</v>
      </c>
      <c r="AE69" s="209">
        <v>0</v>
      </c>
      <c r="AF69" s="168"/>
      <c r="AG69" s="169"/>
      <c r="AH69" s="169"/>
      <c r="AI69" s="169"/>
      <c r="AJ69" s="169"/>
      <c r="AK69" s="169" t="str">
        <f>" " &amp; TEXT(AE69,"#0.00%") &amp; " " &amp; "Sprint#3 screen design" &amp; " " &amp; IF(P69="","",TEXT(P69,"M/D-")) &amp; IF(Q69="","",TEXT(Q69,"M/D")) &amp; " "</f>
        <v xml:space="preserve"> 0.00% Sprint#3 screen design 11/4-11/15 </v>
      </c>
      <c r="AL69" s="169"/>
      <c r="AM69" s="169"/>
      <c r="AN69" s="169"/>
      <c r="AO69" s="169"/>
      <c r="AP69" s="169"/>
      <c r="AQ69" s="169"/>
      <c r="AR69" s="169"/>
      <c r="AS69" s="169"/>
    </row>
    <row r="70" spans="1:45" ht="12" customHeight="1" outlineLevel="3">
      <c r="A70" s="135"/>
      <c r="B70" s="135" t="s">
        <v>80</v>
      </c>
      <c r="C70" s="135">
        <v>4</v>
      </c>
      <c r="D70" s="165" t="s">
        <v>201</v>
      </c>
      <c r="E70" s="136"/>
      <c r="F70" s="219"/>
      <c r="G70" s="219"/>
      <c r="H70" s="212" t="s">
        <v>178</v>
      </c>
      <c r="I70" s="219"/>
      <c r="J70" s="219"/>
      <c r="K70" s="219"/>
      <c r="L70" s="136"/>
      <c r="M70" s="136"/>
      <c r="N70" s="136"/>
      <c r="O70" s="243" t="s">
        <v>179</v>
      </c>
      <c r="P70" s="137">
        <v>45600</v>
      </c>
      <c r="Q70" s="137">
        <v>45611</v>
      </c>
      <c r="R70" s="136"/>
      <c r="S70" s="138">
        <v>26</v>
      </c>
      <c r="T70" s="138">
        <v>26</v>
      </c>
      <c r="U70" s="138">
        <v>10</v>
      </c>
      <c r="V70" s="138">
        <v>10</v>
      </c>
      <c r="W70" s="137"/>
      <c r="X70" s="137"/>
      <c r="Y70" s="139">
        <v>0</v>
      </c>
      <c r="Z70" s="140">
        <v>0</v>
      </c>
      <c r="AA70" s="138"/>
      <c r="AB70" s="136"/>
      <c r="AC70" s="141"/>
      <c r="AD70" s="164">
        <v>1</v>
      </c>
      <c r="AE70" s="210">
        <v>0</v>
      </c>
      <c r="AF70" s="168"/>
      <c r="AG70" s="169"/>
      <c r="AH70" s="169"/>
      <c r="AI70" s="169"/>
      <c r="AJ70" s="169"/>
      <c r="AK70" s="169" t="str">
        <f>" " &amp; TEXT(AE70,"#0.00%") &amp; " " &amp; "Development" &amp; " " &amp; IF(P70="","",TEXT(P70,"M/D-")) &amp; IF(Q70="","",TEXT(Q70,"M/D")) &amp; " "</f>
        <v xml:space="preserve"> 0.00% Development 11/4-11/15 </v>
      </c>
      <c r="AL70" s="169"/>
      <c r="AM70" s="169"/>
      <c r="AN70" s="169"/>
      <c r="AO70" s="169"/>
      <c r="AP70" s="169"/>
      <c r="AQ70" s="169"/>
      <c r="AR70" s="169"/>
      <c r="AS70" s="169"/>
    </row>
    <row r="71" spans="1:45" ht="12" customHeight="1" outlineLevel="4">
      <c r="A71" s="135"/>
      <c r="B71" s="135"/>
      <c r="C71" s="135">
        <v>5</v>
      </c>
      <c r="D71" s="165" t="s">
        <v>202</v>
      </c>
      <c r="E71" s="136"/>
      <c r="F71" s="219"/>
      <c r="G71" s="219"/>
      <c r="H71" s="219"/>
      <c r="I71" s="219" t="s">
        <v>183</v>
      </c>
      <c r="J71" s="219"/>
      <c r="K71" s="219"/>
      <c r="L71" s="136"/>
      <c r="M71" s="136"/>
      <c r="N71" s="136"/>
      <c r="O71" s="136"/>
      <c r="P71" s="137">
        <v>45600</v>
      </c>
      <c r="Q71" s="137">
        <v>45601</v>
      </c>
      <c r="R71" s="136"/>
      <c r="S71" s="138">
        <v>2</v>
      </c>
      <c r="T71" s="138">
        <v>2</v>
      </c>
      <c r="U71" s="138">
        <v>2</v>
      </c>
      <c r="V71" s="138">
        <v>2</v>
      </c>
      <c r="W71" s="137">
        <v>45600</v>
      </c>
      <c r="X71" s="137">
        <v>45601</v>
      </c>
      <c r="Y71" s="139">
        <v>2</v>
      </c>
      <c r="Z71" s="140">
        <v>2</v>
      </c>
      <c r="AA71" s="138"/>
      <c r="AB71" s="136"/>
      <c r="AC71" s="141"/>
      <c r="AD71" s="164">
        <v>1</v>
      </c>
      <c r="AE71" s="209">
        <v>0</v>
      </c>
      <c r="AF71" s="168"/>
      <c r="AG71" s="169"/>
      <c r="AH71" s="169"/>
      <c r="AI71" s="169"/>
      <c r="AJ71" s="169"/>
      <c r="AK71" s="169" t="str">
        <f>" " &amp; TEXT(AE71,"#0.00%") &amp; " " &amp; "CMS020401 Content list" &amp; " " &amp; IF(P71="","",TEXT(P71,"M/D-")) &amp; IF(Q71="","",TEXT(Q71,"M/D")) &amp; " "</f>
        <v xml:space="preserve"> 0.00% CMS020401 Content list 11/4-11/5 </v>
      </c>
      <c r="AL71" s="169"/>
      <c r="AM71" s="169"/>
      <c r="AN71" s="169"/>
      <c r="AO71" s="169"/>
      <c r="AP71" s="169"/>
      <c r="AQ71" s="169"/>
      <c r="AR71" s="169"/>
      <c r="AS71" s="169"/>
    </row>
    <row r="72" spans="1:45" ht="12" customHeight="1" outlineLevel="4">
      <c r="A72" s="135"/>
      <c r="B72" s="135"/>
      <c r="C72" s="135">
        <v>5</v>
      </c>
      <c r="D72" s="165" t="s">
        <v>203</v>
      </c>
      <c r="E72" s="136"/>
      <c r="F72" s="219"/>
      <c r="G72" s="219"/>
      <c r="H72" s="219"/>
      <c r="I72" s="267" t="s">
        <v>187</v>
      </c>
      <c r="J72" s="219"/>
      <c r="K72" s="219"/>
      <c r="L72" s="136"/>
      <c r="M72" s="136"/>
      <c r="N72" s="136"/>
      <c r="O72" s="136"/>
      <c r="P72" s="137">
        <v>45600</v>
      </c>
      <c r="Q72" s="137">
        <v>45600</v>
      </c>
      <c r="R72" s="136"/>
      <c r="S72" s="138">
        <v>1</v>
      </c>
      <c r="T72" s="138">
        <v>1</v>
      </c>
      <c r="U72" s="138">
        <v>1</v>
      </c>
      <c r="V72" s="138">
        <v>1</v>
      </c>
      <c r="W72" s="137">
        <v>45600</v>
      </c>
      <c r="X72" s="137">
        <v>45600</v>
      </c>
      <c r="Y72" s="139">
        <v>1</v>
      </c>
      <c r="Z72" s="140">
        <v>1</v>
      </c>
      <c r="AA72" s="138"/>
      <c r="AB72" s="136"/>
      <c r="AC72" s="141"/>
      <c r="AD72" s="164">
        <v>1</v>
      </c>
      <c r="AE72" s="209">
        <v>0</v>
      </c>
      <c r="AF72" s="168"/>
      <c r="AG72" s="169"/>
      <c r="AH72" s="169"/>
      <c r="AI72" s="169"/>
      <c r="AJ72" s="169"/>
      <c r="AK72" s="169" t="str">
        <f>" " &amp; TEXT(AE72,"#0.00%") &amp; " " &amp; "CMS020403 Content update" &amp; " " &amp; IF(P72="","",TEXT(P72,"M/D-")) &amp; IF(Q72="","",TEXT(Q72,"M/D")) &amp; " "</f>
        <v xml:space="preserve"> 0.00% CMS020403 Content update 11/4-11/4 </v>
      </c>
      <c r="AL72" s="169"/>
      <c r="AM72" s="169"/>
      <c r="AN72" s="169"/>
      <c r="AO72" s="169"/>
      <c r="AP72" s="169"/>
      <c r="AQ72" s="169"/>
      <c r="AR72" s="169"/>
      <c r="AS72" s="169"/>
    </row>
    <row r="73" spans="1:45" ht="12" customHeight="1" outlineLevel="4">
      <c r="A73" s="135"/>
      <c r="B73" s="135"/>
      <c r="C73" s="135">
        <v>5</v>
      </c>
      <c r="D73" s="165" t="s">
        <v>204</v>
      </c>
      <c r="E73" s="136"/>
      <c r="F73" s="219"/>
      <c r="G73" s="219"/>
      <c r="H73" s="219"/>
      <c r="I73" s="267" t="s">
        <v>205</v>
      </c>
      <c r="J73" s="219"/>
      <c r="K73" s="219"/>
      <c r="L73" s="136"/>
      <c r="M73" s="136"/>
      <c r="N73" s="136"/>
      <c r="O73" s="136"/>
      <c r="P73" s="137">
        <v>45601</v>
      </c>
      <c r="Q73" s="137">
        <v>45602</v>
      </c>
      <c r="R73" s="136"/>
      <c r="S73" s="138">
        <v>2</v>
      </c>
      <c r="T73" s="138">
        <v>2</v>
      </c>
      <c r="U73" s="138">
        <v>2</v>
      </c>
      <c r="V73" s="138">
        <v>2</v>
      </c>
      <c r="W73" s="137">
        <v>45601</v>
      </c>
      <c r="X73" s="137">
        <v>45602</v>
      </c>
      <c r="Y73" s="139">
        <v>2</v>
      </c>
      <c r="Z73" s="140">
        <v>2</v>
      </c>
      <c r="AA73" s="138"/>
      <c r="AB73" s="136"/>
      <c r="AC73" s="141"/>
      <c r="AD73" s="164">
        <v>1</v>
      </c>
      <c r="AE73" s="209">
        <v>0</v>
      </c>
      <c r="AF73" s="168"/>
      <c r="AG73" s="169"/>
      <c r="AH73" s="169"/>
      <c r="AI73" s="169"/>
      <c r="AJ73" s="169"/>
      <c r="AK73" s="169" t="str">
        <f>"  " &amp; TEXT(AE73,"#0.00%") &amp; " " &amp; "CMS020801 Approval  list" &amp; " " &amp; IF(P73="","",TEXT(P73,"M/D-")) &amp; IF(Q73="","",TEXT(Q73,"M/D")) &amp; " "</f>
        <v xml:space="preserve">  0.00% CMS020801 Approval  list 11/5-11/6 </v>
      </c>
      <c r="AL73" s="169"/>
      <c r="AM73" s="169"/>
      <c r="AN73" s="169"/>
      <c r="AO73" s="169"/>
      <c r="AP73" s="169"/>
      <c r="AQ73" s="169"/>
      <c r="AR73" s="169"/>
      <c r="AS73" s="169"/>
    </row>
    <row r="74" spans="1:45" ht="12" customHeight="1" outlineLevel="4">
      <c r="A74" s="135"/>
      <c r="B74" s="135"/>
      <c r="C74" s="135">
        <v>5</v>
      </c>
      <c r="D74" s="165" t="s">
        <v>207</v>
      </c>
      <c r="E74" s="136"/>
      <c r="F74" s="219"/>
      <c r="G74" s="219"/>
      <c r="H74" s="219"/>
      <c r="I74" s="219" t="s">
        <v>206</v>
      </c>
      <c r="J74" s="219"/>
      <c r="K74" s="219"/>
      <c r="L74" s="136"/>
      <c r="M74" s="136"/>
      <c r="N74" s="136"/>
      <c r="O74" s="136"/>
      <c r="P74" s="137">
        <v>45601</v>
      </c>
      <c r="Q74" s="137">
        <v>45602</v>
      </c>
      <c r="R74" s="136"/>
      <c r="S74" s="138">
        <v>2</v>
      </c>
      <c r="T74" s="138">
        <v>2</v>
      </c>
      <c r="U74" s="138">
        <v>2</v>
      </c>
      <c r="V74" s="138">
        <v>2</v>
      </c>
      <c r="W74" s="137">
        <v>45601</v>
      </c>
      <c r="X74" s="137">
        <v>45602</v>
      </c>
      <c r="Y74" s="139">
        <v>2</v>
      </c>
      <c r="Z74" s="140">
        <v>2</v>
      </c>
      <c r="AA74" s="138"/>
      <c r="AB74" s="136"/>
      <c r="AC74" s="141"/>
      <c r="AD74" s="164">
        <v>1</v>
      </c>
      <c r="AE74" s="209">
        <v>0</v>
      </c>
      <c r="AF74" s="168"/>
      <c r="AG74" s="169"/>
      <c r="AH74" s="169"/>
      <c r="AI74" s="169"/>
      <c r="AJ74" s="169"/>
      <c r="AK74" s="169" t="str">
        <f>"  " &amp; TEXT(AE74,"#0.00%") &amp; " " &amp; "CMS020802 Requested list" &amp; " " &amp; IF(P74="","",TEXT(P74,"M/D-")) &amp; IF(Q74="","",TEXT(Q74,"M/D")) &amp; " "</f>
        <v xml:space="preserve">  0.00% CMS020802 Requested list 11/5-11/6 </v>
      </c>
      <c r="AL74" s="169"/>
      <c r="AM74" s="169"/>
      <c r="AN74" s="169"/>
      <c r="AO74" s="169"/>
      <c r="AP74" s="169"/>
      <c r="AQ74" s="169"/>
      <c r="AR74" s="169"/>
      <c r="AS74" s="169"/>
    </row>
    <row r="75" spans="1:45" ht="12" customHeight="1" outlineLevel="4">
      <c r="A75" s="135"/>
      <c r="B75" s="135"/>
      <c r="C75" s="135">
        <v>5</v>
      </c>
      <c r="D75" s="165" t="s">
        <v>209</v>
      </c>
      <c r="E75" s="136"/>
      <c r="F75" s="219"/>
      <c r="G75" s="219"/>
      <c r="H75" s="219"/>
      <c r="I75" s="219" t="s">
        <v>208</v>
      </c>
      <c r="J75" s="219"/>
      <c r="K75" s="219"/>
      <c r="L75" s="136"/>
      <c r="M75" s="136"/>
      <c r="N75" s="136"/>
      <c r="O75" s="136"/>
      <c r="P75" s="137">
        <v>45602</v>
      </c>
      <c r="Q75" s="137">
        <v>45603</v>
      </c>
      <c r="R75" s="136"/>
      <c r="S75" s="138">
        <v>2</v>
      </c>
      <c r="T75" s="138">
        <v>2</v>
      </c>
      <c r="U75" s="138">
        <v>2</v>
      </c>
      <c r="V75" s="138">
        <v>2</v>
      </c>
      <c r="W75" s="137">
        <v>45602</v>
      </c>
      <c r="X75" s="137">
        <v>45603</v>
      </c>
      <c r="Y75" s="139">
        <v>2</v>
      </c>
      <c r="Z75" s="140">
        <v>2</v>
      </c>
      <c r="AA75" s="138"/>
      <c r="AB75" s="136"/>
      <c r="AC75" s="141"/>
      <c r="AD75" s="164">
        <v>1</v>
      </c>
      <c r="AE75" s="209">
        <v>0</v>
      </c>
      <c r="AF75" s="168"/>
      <c r="AG75" s="169"/>
      <c r="AH75" s="169"/>
      <c r="AI75" s="169"/>
      <c r="AJ75" s="169"/>
      <c r="AK75" s="169" t="str">
        <f>"   " &amp; TEXT(AE75,"#0.00%") &amp; " " &amp; "CMS020601 Content approval configuration" &amp; " " &amp; IF(P75="","",TEXT(P75,"M/D-")) &amp; IF(Q75="","",TEXT(Q75,"M/D")) &amp; " "</f>
        <v xml:space="preserve">   0.00% CMS020601 Content approval configuration 11/6-11/7 </v>
      </c>
      <c r="AL75" s="169"/>
      <c r="AM75" s="169"/>
      <c r="AN75" s="169"/>
      <c r="AO75" s="169"/>
      <c r="AP75" s="169"/>
      <c r="AQ75" s="169"/>
      <c r="AR75" s="169"/>
      <c r="AS75" s="169"/>
    </row>
    <row r="76" spans="1:45" ht="12" customHeight="1" outlineLevel="4">
      <c r="A76" s="135"/>
      <c r="B76" s="135"/>
      <c r="C76" s="135">
        <v>5</v>
      </c>
      <c r="D76" s="165" t="s">
        <v>211</v>
      </c>
      <c r="E76" s="136"/>
      <c r="F76" s="219"/>
      <c r="G76" s="219"/>
      <c r="H76" s="219"/>
      <c r="I76" s="219" t="s">
        <v>210</v>
      </c>
      <c r="J76" s="219"/>
      <c r="K76" s="219"/>
      <c r="L76" s="136"/>
      <c r="M76" s="136"/>
      <c r="N76" s="136"/>
      <c r="O76" s="136"/>
      <c r="P76" s="137">
        <v>45603</v>
      </c>
      <c r="Q76" s="137">
        <v>45603</v>
      </c>
      <c r="R76" s="136"/>
      <c r="S76" s="138">
        <v>1</v>
      </c>
      <c r="T76" s="138">
        <v>1</v>
      </c>
      <c r="U76" s="138">
        <v>1</v>
      </c>
      <c r="V76" s="138">
        <v>1</v>
      </c>
      <c r="W76" s="137">
        <v>45603</v>
      </c>
      <c r="X76" s="137">
        <v>45603</v>
      </c>
      <c r="Y76" s="139">
        <v>1</v>
      </c>
      <c r="Z76" s="140">
        <v>1</v>
      </c>
      <c r="AA76" s="138"/>
      <c r="AB76" s="136"/>
      <c r="AC76" s="141"/>
      <c r="AD76" s="164">
        <v>1</v>
      </c>
      <c r="AE76" s="209">
        <v>0</v>
      </c>
      <c r="AF76" s="168"/>
      <c r="AG76" s="169"/>
      <c r="AH76" s="169"/>
      <c r="AI76" s="169"/>
      <c r="AJ76" s="169"/>
      <c r="AK76" s="169" t="str">
        <f>"    " &amp; TEXT(AE76,"#0.00%") &amp; " " &amp; "CMS040101 Content property configuration" &amp; " " &amp; IF(P76="","",TEXT(P76,"M/D-")) &amp; IF(Q76="","",TEXT(Q76,"M/D")) &amp; " "</f>
        <v xml:space="preserve">    0.00% CMS040101 Content property configuration 11/7-11/7 </v>
      </c>
      <c r="AL76" s="169"/>
      <c r="AM76" s="169"/>
      <c r="AN76" s="169"/>
      <c r="AO76" s="169"/>
      <c r="AP76" s="169"/>
      <c r="AQ76" s="169"/>
      <c r="AR76" s="169"/>
      <c r="AS76" s="169"/>
    </row>
    <row r="77" spans="1:45" ht="12" customHeight="1" outlineLevel="4">
      <c r="A77" s="135"/>
      <c r="B77" s="135"/>
      <c r="C77" s="135">
        <v>5</v>
      </c>
      <c r="D77" s="165" t="s">
        <v>212</v>
      </c>
      <c r="E77" s="136"/>
      <c r="F77" s="219"/>
      <c r="G77" s="219"/>
      <c r="H77" s="219"/>
      <c r="I77" s="219" t="s">
        <v>185</v>
      </c>
      <c r="J77" s="219"/>
      <c r="K77" s="219"/>
      <c r="L77" s="136"/>
      <c r="M77" s="136"/>
      <c r="N77" s="136"/>
      <c r="O77" s="136"/>
      <c r="P77" s="137">
        <v>45604</v>
      </c>
      <c r="Q77" s="137">
        <v>45609</v>
      </c>
      <c r="R77" s="136"/>
      <c r="S77" s="138">
        <v>4</v>
      </c>
      <c r="T77" s="138">
        <v>4</v>
      </c>
      <c r="U77" s="138">
        <v>4</v>
      </c>
      <c r="V77" s="138">
        <v>4</v>
      </c>
      <c r="W77" s="137">
        <v>45604</v>
      </c>
      <c r="X77" s="137">
        <v>45609</v>
      </c>
      <c r="Y77" s="139">
        <v>4</v>
      </c>
      <c r="Z77" s="140">
        <v>4</v>
      </c>
      <c r="AA77" s="138"/>
      <c r="AB77" s="136"/>
      <c r="AC77" s="141"/>
      <c r="AD77" s="164">
        <v>1</v>
      </c>
      <c r="AE77" s="209">
        <v>0</v>
      </c>
      <c r="AF77" s="168"/>
      <c r="AG77" s="169"/>
      <c r="AH77" s="169"/>
      <c r="AI77" s="169"/>
      <c r="AJ77" s="169"/>
      <c r="AK77" s="169" t="str">
        <f>"     " &amp; TEXT(AE77,"#0.00%") &amp; " " &amp; "CMS020404 Content detail" &amp; " " &amp; IF(P77="","",TEXT(P77,"M/D-")) &amp; IF(Q77="","",TEXT(Q77,"M/D")) &amp; " "</f>
        <v xml:space="preserve">     0.00% CMS020404 Content detail 11/8-11/13 </v>
      </c>
      <c r="AL77" s="169"/>
      <c r="AM77" s="169"/>
      <c r="AN77" s="169"/>
      <c r="AO77" s="169"/>
      <c r="AP77" s="169"/>
      <c r="AQ77" s="169"/>
      <c r="AR77" s="169"/>
      <c r="AS77" s="169"/>
    </row>
    <row r="78" spans="1:45" ht="12" customHeight="1" outlineLevel="4">
      <c r="A78" s="135"/>
      <c r="B78" s="135"/>
      <c r="C78" s="135">
        <v>5</v>
      </c>
      <c r="D78" s="165" t="s">
        <v>214</v>
      </c>
      <c r="E78" s="136"/>
      <c r="F78" s="219"/>
      <c r="G78" s="219"/>
      <c r="H78" s="219"/>
      <c r="I78" s="219" t="s">
        <v>213</v>
      </c>
      <c r="J78" s="219"/>
      <c r="K78" s="219"/>
      <c r="L78" s="136"/>
      <c r="M78" s="136"/>
      <c r="N78" s="136"/>
      <c r="O78" s="136"/>
      <c r="P78" s="137">
        <v>45604</v>
      </c>
      <c r="Q78" s="137">
        <v>45609</v>
      </c>
      <c r="R78" s="136"/>
      <c r="S78" s="138">
        <v>4</v>
      </c>
      <c r="T78" s="138">
        <v>4</v>
      </c>
      <c r="U78" s="138">
        <v>4</v>
      </c>
      <c r="V78" s="138">
        <v>4</v>
      </c>
      <c r="W78" s="137">
        <v>45604</v>
      </c>
      <c r="X78" s="137">
        <v>45609</v>
      </c>
      <c r="Y78" s="139">
        <v>4</v>
      </c>
      <c r="Z78" s="140">
        <v>4</v>
      </c>
      <c r="AA78" s="138"/>
      <c r="AB78" s="136"/>
      <c r="AC78" s="141"/>
      <c r="AD78" s="164">
        <v>1</v>
      </c>
      <c r="AE78" s="209">
        <v>0</v>
      </c>
      <c r="AF78" s="168"/>
      <c r="AG78" s="169"/>
      <c r="AH78" s="169"/>
      <c r="AI78" s="169"/>
      <c r="AJ78" s="169"/>
      <c r="AK78" s="169" t="str">
        <f>"     " &amp; TEXT(AE78,"#0.00%") &amp; " " &amp; "CMS020405 Content history verison" &amp; " " &amp; IF(P78="","",TEXT(P78,"M/D-")) &amp; IF(Q78="","",TEXT(Q78,"M/D")) &amp; " "</f>
        <v xml:space="preserve">     0.00% CMS020405 Content history verison 11/8-11/13 </v>
      </c>
      <c r="AL78" s="169"/>
      <c r="AM78" s="169"/>
      <c r="AN78" s="169"/>
      <c r="AO78" s="169"/>
      <c r="AP78" s="169"/>
      <c r="AQ78" s="169"/>
      <c r="AR78" s="169"/>
      <c r="AS78" s="169"/>
    </row>
    <row r="79" spans="1:45" ht="12" customHeight="1" outlineLevel="4">
      <c r="A79" s="135"/>
      <c r="B79" s="135"/>
      <c r="C79" s="135">
        <v>5</v>
      </c>
      <c r="D79" s="165" t="s">
        <v>216</v>
      </c>
      <c r="E79" s="136"/>
      <c r="F79" s="219"/>
      <c r="G79" s="219"/>
      <c r="H79" s="219"/>
      <c r="I79" s="219" t="s">
        <v>215</v>
      </c>
      <c r="J79" s="219"/>
      <c r="K79" s="219"/>
      <c r="L79" s="136"/>
      <c r="M79" s="136"/>
      <c r="N79" s="136"/>
      <c r="O79" s="136"/>
      <c r="P79" s="137">
        <v>45608</v>
      </c>
      <c r="Q79" s="137">
        <v>45609</v>
      </c>
      <c r="R79" s="136"/>
      <c r="S79" s="138">
        <v>2</v>
      </c>
      <c r="T79" s="138">
        <v>2</v>
      </c>
      <c r="U79" s="138">
        <v>2</v>
      </c>
      <c r="V79" s="138">
        <v>2</v>
      </c>
      <c r="W79" s="137">
        <v>45608</v>
      </c>
      <c r="X79" s="137">
        <v>45609</v>
      </c>
      <c r="Y79" s="139">
        <v>2</v>
      </c>
      <c r="Z79" s="140">
        <v>2</v>
      </c>
      <c r="AA79" s="138"/>
      <c r="AB79" s="136"/>
      <c r="AC79" s="141"/>
      <c r="AD79" s="164">
        <v>1</v>
      </c>
      <c r="AE79" s="209">
        <v>0</v>
      </c>
      <c r="AF79" s="168"/>
      <c r="AG79" s="169"/>
      <c r="AH79" s="169"/>
      <c r="AI79" s="169"/>
      <c r="AJ79" s="169"/>
      <c r="AK79" s="169"/>
      <c r="AL79" s="169" t="str">
        <f>"  " &amp; TEXT(AE79,"#0.00%") &amp; " " &amp; "CMS020101 Hashtag list" &amp; " " &amp; IF(P79="","",TEXT(P79,"M/D-")) &amp; IF(Q79="","",TEXT(Q79,"M/D")) &amp; " "</f>
        <v xml:space="preserve">  0.00% CMS020101 Hashtag list 11/12-11/13 </v>
      </c>
      <c r="AM79" s="169"/>
      <c r="AN79" s="169"/>
      <c r="AO79" s="169"/>
      <c r="AP79" s="169"/>
      <c r="AQ79" s="169"/>
      <c r="AR79" s="169"/>
      <c r="AS79" s="169"/>
    </row>
    <row r="80" spans="1:45" ht="12" customHeight="1" outlineLevel="4">
      <c r="A80" s="135"/>
      <c r="B80" s="135"/>
      <c r="C80" s="135">
        <v>5</v>
      </c>
      <c r="D80" s="165" t="s">
        <v>218</v>
      </c>
      <c r="E80" s="136"/>
      <c r="F80" s="219"/>
      <c r="G80" s="219"/>
      <c r="H80" s="219"/>
      <c r="I80" s="219" t="s">
        <v>217</v>
      </c>
      <c r="J80" s="219"/>
      <c r="K80" s="219"/>
      <c r="L80" s="136"/>
      <c r="M80" s="136"/>
      <c r="N80" s="136"/>
      <c r="O80" s="136"/>
      <c r="P80" s="137">
        <v>45608</v>
      </c>
      <c r="Q80" s="137">
        <v>45609</v>
      </c>
      <c r="R80" s="136"/>
      <c r="S80" s="138">
        <v>2</v>
      </c>
      <c r="T80" s="138">
        <v>2</v>
      </c>
      <c r="U80" s="138">
        <v>2</v>
      </c>
      <c r="V80" s="138">
        <v>2</v>
      </c>
      <c r="W80" s="137">
        <v>45608</v>
      </c>
      <c r="X80" s="137">
        <v>45609</v>
      </c>
      <c r="Y80" s="139">
        <v>2</v>
      </c>
      <c r="Z80" s="140">
        <v>2</v>
      </c>
      <c r="AA80" s="138"/>
      <c r="AB80" s="136"/>
      <c r="AC80" s="141"/>
      <c r="AD80" s="164">
        <v>1</v>
      </c>
      <c r="AE80" s="209">
        <v>0</v>
      </c>
      <c r="AF80" s="168"/>
      <c r="AG80" s="169"/>
      <c r="AH80" s="169"/>
      <c r="AI80" s="169"/>
      <c r="AJ80" s="169"/>
      <c r="AK80" s="169"/>
      <c r="AL80" s="169" t="str">
        <f>"  " &amp; TEXT(AE80,"#0.00%") &amp; " " &amp; "CMS020102 Hashtag CRUD" &amp; " " &amp; IF(P80="","",TEXT(P80,"M/D-")) &amp; IF(Q80="","",TEXT(Q80,"M/D")) &amp; " "</f>
        <v xml:space="preserve">  0.00% CMS020102 Hashtag CRUD 11/12-11/13 </v>
      </c>
      <c r="AM80" s="169"/>
      <c r="AN80" s="169"/>
      <c r="AO80" s="169"/>
      <c r="AP80" s="169"/>
      <c r="AQ80" s="169"/>
      <c r="AR80" s="169"/>
      <c r="AS80" s="169"/>
    </row>
    <row r="81" spans="1:45" ht="12" customHeight="1" outlineLevel="4">
      <c r="A81" s="135"/>
      <c r="B81" s="135"/>
      <c r="C81" s="135">
        <v>5</v>
      </c>
      <c r="D81" s="165" t="s">
        <v>221</v>
      </c>
      <c r="E81" s="136"/>
      <c r="F81" s="219"/>
      <c r="G81" s="219"/>
      <c r="H81" s="219"/>
      <c r="I81" s="268" t="s">
        <v>219</v>
      </c>
      <c r="J81" s="219"/>
      <c r="K81" s="219"/>
      <c r="L81" s="136"/>
      <c r="M81" s="136"/>
      <c r="N81" s="136"/>
      <c r="O81" s="136" t="s">
        <v>220</v>
      </c>
      <c r="P81" s="137">
        <v>45610</v>
      </c>
      <c r="Q81" s="137">
        <v>45611</v>
      </c>
      <c r="R81" s="136"/>
      <c r="S81" s="138">
        <v>2</v>
      </c>
      <c r="T81" s="138">
        <v>2</v>
      </c>
      <c r="U81" s="138">
        <v>2</v>
      </c>
      <c r="V81" s="138">
        <v>2</v>
      </c>
      <c r="W81" s="137">
        <v>45610</v>
      </c>
      <c r="X81" s="137">
        <v>45611</v>
      </c>
      <c r="Y81" s="139">
        <v>2</v>
      </c>
      <c r="Z81" s="140">
        <v>2</v>
      </c>
      <c r="AA81" s="138"/>
      <c r="AB81" s="136"/>
      <c r="AC81" s="141"/>
      <c r="AD81" s="164">
        <v>1</v>
      </c>
      <c r="AE81" s="209">
        <v>0</v>
      </c>
      <c r="AF81" s="168"/>
      <c r="AG81" s="169"/>
      <c r="AH81" s="169"/>
      <c r="AI81" s="169"/>
      <c r="AJ81" s="169"/>
      <c r="AK81" s="169"/>
      <c r="AL81" s="169" t="str">
        <f>"    " &amp; TEXT(AE81,"#0.00%") &amp; " " &amp; "CMS020201 Product list" &amp; " " &amp; IF(P81="","",TEXT(P81,"M/D-")) &amp; IF(Q81="","",TEXT(Q81,"M/D")) &amp; " "</f>
        <v xml:space="preserve">    0.00% CMS020201 Product list 11/14-11/15 </v>
      </c>
      <c r="AM81" s="169"/>
      <c r="AN81" s="169"/>
      <c r="AO81" s="169"/>
      <c r="AP81" s="169"/>
      <c r="AQ81" s="169"/>
      <c r="AR81" s="169"/>
      <c r="AS81" s="169"/>
    </row>
    <row r="82" spans="1:45" ht="12" customHeight="1" outlineLevel="4">
      <c r="A82" s="135"/>
      <c r="B82" s="135"/>
      <c r="C82" s="135">
        <v>5</v>
      </c>
      <c r="D82" s="165" t="s">
        <v>1696</v>
      </c>
      <c r="E82" s="136"/>
      <c r="F82" s="219"/>
      <c r="G82" s="219"/>
      <c r="H82" s="219"/>
      <c r="I82" s="268" t="s">
        <v>222</v>
      </c>
      <c r="J82" s="219"/>
      <c r="K82" s="219"/>
      <c r="L82" s="136"/>
      <c r="M82" s="136"/>
      <c r="N82" s="136"/>
      <c r="O82" s="136" t="s">
        <v>220</v>
      </c>
      <c r="P82" s="137">
        <v>45610</v>
      </c>
      <c r="Q82" s="137">
        <v>45611</v>
      </c>
      <c r="R82" s="136"/>
      <c r="S82" s="138">
        <v>2</v>
      </c>
      <c r="T82" s="138">
        <v>2</v>
      </c>
      <c r="U82" s="138">
        <v>2</v>
      </c>
      <c r="V82" s="138">
        <v>2</v>
      </c>
      <c r="W82" s="137">
        <v>45610</v>
      </c>
      <c r="X82" s="137">
        <v>45611</v>
      </c>
      <c r="Y82" s="139">
        <v>2</v>
      </c>
      <c r="Z82" s="140">
        <v>2</v>
      </c>
      <c r="AA82" s="138"/>
      <c r="AB82" s="136"/>
      <c r="AC82" s="141"/>
      <c r="AD82" s="164">
        <v>1</v>
      </c>
      <c r="AE82" s="209">
        <v>0</v>
      </c>
      <c r="AF82" s="168"/>
      <c r="AG82" s="169"/>
      <c r="AH82" s="169"/>
      <c r="AI82" s="169"/>
      <c r="AJ82" s="169"/>
      <c r="AK82" s="169"/>
      <c r="AL82" s="169" t="str">
        <f>"    " &amp; TEXT(AE82,"#0.00%") &amp; " " &amp; "CMS020202 Product CRUD" &amp; " " &amp; IF(P82="","",TEXT(P82,"M/D-")) &amp; IF(Q82="","",TEXT(Q82,"M/D")) &amp; " "</f>
        <v xml:space="preserve">    0.00% CMS020202 Product CRUD 11/14-11/15 </v>
      </c>
      <c r="AM82" s="169"/>
      <c r="AN82" s="169"/>
      <c r="AO82" s="169"/>
      <c r="AP82" s="169"/>
      <c r="AQ82" s="169"/>
      <c r="AR82" s="169"/>
      <c r="AS82" s="169"/>
    </row>
    <row r="83" spans="1:45" ht="12" customHeight="1" outlineLevel="3">
      <c r="A83" s="135"/>
      <c r="B83" s="135"/>
      <c r="C83" s="135">
        <v>4</v>
      </c>
      <c r="D83" s="244" t="s">
        <v>223</v>
      </c>
      <c r="E83" s="225"/>
      <c r="F83" s="212"/>
      <c r="G83" s="212"/>
      <c r="H83" s="212" t="s">
        <v>189</v>
      </c>
      <c r="I83" s="212"/>
      <c r="J83" s="212"/>
      <c r="K83" s="212"/>
      <c r="L83" s="225"/>
      <c r="M83" s="225"/>
      <c r="N83" s="225"/>
      <c r="O83" s="225"/>
      <c r="P83" s="226">
        <v>45611</v>
      </c>
      <c r="Q83" s="226">
        <v>45611</v>
      </c>
      <c r="R83" s="225"/>
      <c r="S83" s="237">
        <v>1</v>
      </c>
      <c r="T83" s="237">
        <v>1</v>
      </c>
      <c r="U83" s="237">
        <v>1</v>
      </c>
      <c r="V83" s="237">
        <v>1</v>
      </c>
      <c r="W83" s="226" t="s">
        <v>224</v>
      </c>
      <c r="X83" s="226" t="s">
        <v>224</v>
      </c>
      <c r="Y83" s="238" t="e">
        <v>#VALUE!</v>
      </c>
      <c r="Z83" s="239" t="e">
        <v>#VALUE!</v>
      </c>
      <c r="AA83" s="237"/>
      <c r="AB83" s="225"/>
      <c r="AC83" s="240"/>
      <c r="AD83" s="241">
        <v>1</v>
      </c>
      <c r="AE83" s="209">
        <v>0</v>
      </c>
      <c r="AF83" s="168"/>
      <c r="AG83" s="169"/>
      <c r="AH83" s="169"/>
      <c r="AI83" s="169"/>
      <c r="AJ83" s="169"/>
      <c r="AK83" s="169"/>
      <c r="AL83" s="169" t="str">
        <f>"     " &amp; TEXT(AE83,"#0.00%") &amp; " " &amp; "Sprint Review" &amp; " " &amp; IF(P83="","",TEXT(P83,"M/D-")) &amp; IF(Q83="","",TEXT(Q83,"M/D")) &amp; " "</f>
        <v xml:space="preserve">     0.00% Sprint Review 11/15-11/15 </v>
      </c>
      <c r="AM83" s="169"/>
      <c r="AN83" s="169"/>
      <c r="AO83" s="169"/>
      <c r="AP83" s="169"/>
      <c r="AQ83" s="169"/>
      <c r="AR83" s="169"/>
      <c r="AS83" s="169"/>
    </row>
    <row r="84" spans="1:45" ht="12" customHeight="1" outlineLevel="3">
      <c r="A84" s="135"/>
      <c r="B84" s="135"/>
      <c r="C84" s="135">
        <v>4</v>
      </c>
      <c r="D84" s="244" t="s">
        <v>225</v>
      </c>
      <c r="E84" s="225"/>
      <c r="F84" s="212"/>
      <c r="G84" s="212"/>
      <c r="H84" s="212" t="s">
        <v>191</v>
      </c>
      <c r="I84" s="212"/>
      <c r="J84" s="212"/>
      <c r="K84" s="212"/>
      <c r="L84" s="225"/>
      <c r="M84" s="225"/>
      <c r="N84" s="225"/>
      <c r="O84" s="225"/>
      <c r="P84" s="226">
        <v>45611</v>
      </c>
      <c r="Q84" s="226">
        <v>45611</v>
      </c>
      <c r="R84" s="225"/>
      <c r="S84" s="237">
        <v>1</v>
      </c>
      <c r="T84" s="237">
        <v>1</v>
      </c>
      <c r="U84" s="237">
        <v>1</v>
      </c>
      <c r="V84" s="237">
        <v>1</v>
      </c>
      <c r="W84" s="226" t="s">
        <v>224</v>
      </c>
      <c r="X84" s="226" t="s">
        <v>224</v>
      </c>
      <c r="Y84" s="238" t="e">
        <v>#VALUE!</v>
      </c>
      <c r="Z84" s="239" t="e">
        <v>#VALUE!</v>
      </c>
      <c r="AA84" s="237"/>
      <c r="AB84" s="225"/>
      <c r="AC84" s="240"/>
      <c r="AD84" s="241">
        <v>1</v>
      </c>
      <c r="AE84" s="209">
        <v>0</v>
      </c>
      <c r="AF84" s="168"/>
      <c r="AG84" s="169"/>
      <c r="AH84" s="169"/>
      <c r="AI84" s="169"/>
      <c r="AJ84" s="169"/>
      <c r="AK84" s="169"/>
      <c r="AL84" s="169" t="str">
        <f>"     " &amp; TEXT(AE84,"#0.00%") &amp; " " &amp; "Sprint Retrospective" &amp; " " &amp; IF(P84="","",TEXT(P84,"M/D-")) &amp; IF(Q84="","",TEXT(Q84,"M/D")) &amp; " "</f>
        <v xml:space="preserve">     0.00% Sprint Retrospective 11/15-11/15 </v>
      </c>
      <c r="AM84" s="169"/>
      <c r="AN84" s="169"/>
      <c r="AO84" s="169"/>
      <c r="AP84" s="169"/>
      <c r="AQ84" s="169"/>
      <c r="AR84" s="169"/>
      <c r="AS84" s="169"/>
    </row>
    <row r="85" spans="1:45" ht="12" customHeight="1" outlineLevel="2">
      <c r="A85" s="135"/>
      <c r="B85" s="135" t="s">
        <v>80</v>
      </c>
      <c r="C85" s="135">
        <v>3</v>
      </c>
      <c r="D85" s="165" t="s">
        <v>226</v>
      </c>
      <c r="E85" s="136"/>
      <c r="F85" s="223"/>
      <c r="G85" s="212" t="s">
        <v>227</v>
      </c>
      <c r="H85" s="212"/>
      <c r="I85" s="212"/>
      <c r="J85" s="212"/>
      <c r="K85" s="212"/>
      <c r="L85" s="136"/>
      <c r="M85" s="136"/>
      <c r="N85" s="136"/>
      <c r="O85" s="136"/>
      <c r="P85" s="137">
        <v>45614</v>
      </c>
      <c r="Q85" s="137">
        <v>45625</v>
      </c>
      <c r="R85" s="136"/>
      <c r="S85" s="138">
        <v>47</v>
      </c>
      <c r="T85" s="138">
        <v>47</v>
      </c>
      <c r="U85" s="138">
        <v>10</v>
      </c>
      <c r="V85" s="138">
        <v>10</v>
      </c>
      <c r="W85" s="137"/>
      <c r="X85" s="137"/>
      <c r="Y85" s="139">
        <v>0</v>
      </c>
      <c r="Z85" s="140">
        <v>0</v>
      </c>
      <c r="AA85" s="138"/>
      <c r="AB85" s="136"/>
      <c r="AC85" s="141"/>
      <c r="AD85" s="164">
        <v>1</v>
      </c>
      <c r="AE85" s="210">
        <v>0</v>
      </c>
      <c r="AF85" s="168"/>
      <c r="AG85" s="169"/>
      <c r="AH85" s="169"/>
      <c r="AI85" s="169"/>
      <c r="AJ85" s="169"/>
      <c r="AK85" s="169"/>
      <c r="AL85" s="169"/>
      <c r="AM85" s="169" t="str">
        <f>" " &amp; TEXT(AE85,"#0.00%") &amp; " " &amp; "Sprint#3" &amp; " " &amp; IF(P85="","",TEXT(P85,"M/D-")) &amp; IF(Q85="","",TEXT(Q85,"M/D")) &amp; " "</f>
        <v xml:space="preserve"> 0.00% Sprint#3 11/18-11/29 </v>
      </c>
      <c r="AN85" s="169"/>
      <c r="AO85" s="169"/>
      <c r="AP85" s="169"/>
      <c r="AQ85" s="169"/>
      <c r="AR85" s="169"/>
      <c r="AS85" s="169"/>
    </row>
    <row r="86" spans="1:45" s="247" customFormat="1" ht="12" customHeight="1" outlineLevel="3">
      <c r="A86" s="246"/>
      <c r="B86" s="246"/>
      <c r="C86" s="246">
        <v>4</v>
      </c>
      <c r="D86" s="253" t="s">
        <v>228</v>
      </c>
      <c r="E86" s="254"/>
      <c r="F86" s="217"/>
      <c r="G86" s="217"/>
      <c r="H86" s="217" t="s">
        <v>169</v>
      </c>
      <c r="I86" s="217"/>
      <c r="J86" s="217"/>
      <c r="K86" s="217"/>
      <c r="L86" s="216"/>
      <c r="M86" s="216"/>
      <c r="N86" s="216"/>
      <c r="O86" s="216"/>
      <c r="P86" s="218">
        <v>45614</v>
      </c>
      <c r="Q86" s="218">
        <v>45614</v>
      </c>
      <c r="R86" s="216"/>
      <c r="S86" s="232">
        <v>1</v>
      </c>
      <c r="T86" s="232">
        <v>1</v>
      </c>
      <c r="U86" s="232">
        <v>1</v>
      </c>
      <c r="V86" s="232">
        <v>1</v>
      </c>
      <c r="W86" s="218">
        <v>45614</v>
      </c>
      <c r="X86" s="218">
        <v>45614</v>
      </c>
      <c r="Y86" s="233">
        <v>1</v>
      </c>
      <c r="Z86" s="234">
        <v>1</v>
      </c>
      <c r="AA86" s="232"/>
      <c r="AB86" s="216"/>
      <c r="AC86" s="235"/>
      <c r="AD86" s="236">
        <v>1</v>
      </c>
      <c r="AE86" s="209">
        <v>0</v>
      </c>
      <c r="AF86" s="168"/>
      <c r="AG86" s="169"/>
      <c r="AH86" s="169"/>
      <c r="AI86" s="169"/>
      <c r="AJ86" s="169"/>
      <c r="AK86" s="169"/>
      <c r="AL86" s="169"/>
      <c r="AM86" s="169" t="str">
        <f>" " &amp; TEXT(AE86,"#0.00%") &amp; " " &amp; "Sprint (Re)planning" &amp; " " &amp; IF(P86="","",TEXT(P86,"M/D-")) &amp; IF(Q86="","",TEXT(Q86,"M/D")) &amp; " "</f>
        <v xml:space="preserve"> 0.00% Sprint (Re)planning 11/18-11/18 </v>
      </c>
      <c r="AN86" s="169"/>
      <c r="AO86" s="169"/>
      <c r="AP86" s="169"/>
      <c r="AQ86" s="169"/>
      <c r="AR86" s="169"/>
      <c r="AS86" s="169"/>
    </row>
    <row r="87" spans="1:45" ht="12" customHeight="1" outlineLevel="3">
      <c r="A87" s="135"/>
      <c r="B87" s="135"/>
      <c r="C87" s="135">
        <v>4</v>
      </c>
      <c r="D87" s="165" t="s">
        <v>229</v>
      </c>
      <c r="E87" s="136"/>
      <c r="F87" s="136"/>
      <c r="G87" s="136"/>
      <c r="H87" s="219" t="s">
        <v>171</v>
      </c>
      <c r="I87" s="219"/>
      <c r="J87" s="219"/>
      <c r="K87" s="219"/>
      <c r="L87" s="136"/>
      <c r="M87" s="136"/>
      <c r="N87" s="224"/>
      <c r="O87" s="136"/>
      <c r="P87" s="137">
        <v>45614</v>
      </c>
      <c r="Q87" s="137">
        <v>45614</v>
      </c>
      <c r="R87" s="136"/>
      <c r="S87" s="138">
        <v>1</v>
      </c>
      <c r="T87" s="138">
        <v>1</v>
      </c>
      <c r="U87" s="138">
        <v>1</v>
      </c>
      <c r="V87" s="138">
        <v>1</v>
      </c>
      <c r="W87" s="137">
        <v>45614</v>
      </c>
      <c r="X87" s="137">
        <v>45614</v>
      </c>
      <c r="Y87" s="139">
        <v>1</v>
      </c>
      <c r="Z87" s="140">
        <v>1</v>
      </c>
      <c r="AA87" s="138"/>
      <c r="AB87" s="136"/>
      <c r="AC87" s="141"/>
      <c r="AD87" s="164">
        <v>1</v>
      </c>
      <c r="AE87" s="209">
        <v>0</v>
      </c>
      <c r="AF87" s="168"/>
      <c r="AG87" s="169"/>
      <c r="AH87" s="169"/>
      <c r="AI87" s="169"/>
      <c r="AJ87" s="169"/>
      <c r="AK87" s="169"/>
      <c r="AL87" s="169"/>
      <c r="AM87" s="169" t="str">
        <f>" " &amp; TEXT(AE87,"#0.00%") &amp; " " &amp; "Backlog Refinement" &amp; " " &amp; IF(P87="","",TEXT(P87,"M/D-")) &amp; IF(Q87="","",TEXT(Q87,"M/D")) &amp; " "</f>
        <v xml:space="preserve"> 0.00% Backlog Refinement 11/18-11/18 </v>
      </c>
      <c r="AN87" s="169"/>
      <c r="AO87" s="169"/>
      <c r="AP87" s="169"/>
      <c r="AQ87" s="169"/>
      <c r="AR87" s="169"/>
      <c r="AS87" s="169"/>
    </row>
    <row r="88" spans="1:45" ht="12" customHeight="1" outlineLevel="3">
      <c r="A88" s="135"/>
      <c r="B88" s="135" t="s">
        <v>80</v>
      </c>
      <c r="C88" s="135">
        <v>4</v>
      </c>
      <c r="D88" s="165" t="s">
        <v>230</v>
      </c>
      <c r="E88" s="136"/>
      <c r="F88" s="219"/>
      <c r="G88" s="219"/>
      <c r="H88" s="219" t="s">
        <v>138</v>
      </c>
      <c r="I88" s="219"/>
      <c r="J88" s="224"/>
      <c r="K88" s="224"/>
      <c r="L88" s="224"/>
      <c r="M88" s="224"/>
      <c r="N88" s="224"/>
      <c r="O88" s="136"/>
      <c r="P88" s="137">
        <v>45614</v>
      </c>
      <c r="Q88" s="137">
        <v>45625</v>
      </c>
      <c r="R88" s="136"/>
      <c r="S88" s="138">
        <v>15</v>
      </c>
      <c r="T88" s="138">
        <v>15</v>
      </c>
      <c r="U88" s="138">
        <v>10</v>
      </c>
      <c r="V88" s="138">
        <v>10</v>
      </c>
      <c r="W88" s="137"/>
      <c r="X88" s="137"/>
      <c r="Y88" s="139">
        <v>0</v>
      </c>
      <c r="Z88" s="140">
        <v>0</v>
      </c>
      <c r="AA88" s="138"/>
      <c r="AB88" s="136"/>
      <c r="AC88" s="141"/>
      <c r="AD88" s="164">
        <v>1</v>
      </c>
      <c r="AE88" s="210">
        <v>0</v>
      </c>
      <c r="AF88" s="168"/>
      <c r="AG88" s="169"/>
      <c r="AH88" s="169"/>
      <c r="AI88" s="169"/>
      <c r="AJ88" s="169"/>
      <c r="AK88" s="169"/>
      <c r="AL88" s="169"/>
      <c r="AM88" s="169" t="str">
        <f>" " &amp; TEXT(AE88,"#0.00%") &amp; " " &amp; "Detail Design" &amp; " " &amp; IF(P88="","",TEXT(P88,"M/D-")) &amp; IF(Q88="","",TEXT(Q88,"M/D")) &amp; " "</f>
        <v xml:space="preserve"> 0.00% Detail Design 11/18-11/29 </v>
      </c>
      <c r="AN88" s="169"/>
      <c r="AO88" s="169"/>
      <c r="AP88" s="169"/>
      <c r="AQ88" s="169"/>
      <c r="AR88" s="169"/>
      <c r="AS88" s="169"/>
    </row>
    <row r="89" spans="1:45" ht="12" customHeight="1" outlineLevel="4">
      <c r="A89" s="135"/>
      <c r="B89" s="135"/>
      <c r="C89" s="135">
        <v>5</v>
      </c>
      <c r="D89" s="165" t="s">
        <v>231</v>
      </c>
      <c r="E89" s="136"/>
      <c r="F89" s="219"/>
      <c r="G89" s="219"/>
      <c r="H89" s="219"/>
      <c r="I89" s="219" t="s">
        <v>232</v>
      </c>
      <c r="J89" s="219"/>
      <c r="K89" s="219"/>
      <c r="L89" s="136"/>
      <c r="M89" s="136"/>
      <c r="N89" s="136"/>
      <c r="O89" s="136"/>
      <c r="P89" s="137">
        <v>45614</v>
      </c>
      <c r="Q89" s="137">
        <v>45618</v>
      </c>
      <c r="R89" s="136"/>
      <c r="S89" s="138">
        <v>5</v>
      </c>
      <c r="T89" s="138">
        <v>5</v>
      </c>
      <c r="U89" s="138">
        <v>5</v>
      </c>
      <c r="V89" s="138">
        <v>5</v>
      </c>
      <c r="W89" s="137">
        <v>45614</v>
      </c>
      <c r="X89" s="137"/>
      <c r="Y89" s="139">
        <v>-32581</v>
      </c>
      <c r="Z89" s="140">
        <v>0</v>
      </c>
      <c r="AA89" s="138"/>
      <c r="AB89" s="136"/>
      <c r="AC89" s="141"/>
      <c r="AD89" s="164">
        <v>1</v>
      </c>
      <c r="AE89" s="209">
        <v>0</v>
      </c>
      <c r="AF89" s="168"/>
      <c r="AG89" s="169"/>
      <c r="AH89" s="169"/>
      <c r="AI89" s="169"/>
      <c r="AJ89" s="169"/>
      <c r="AK89" s="169"/>
      <c r="AL89" s="169"/>
      <c r="AM89" s="169" t="str">
        <f>" " &amp; TEXT(AE89,"#0.00%") &amp; " " &amp; "Sprint#3 screen design update(if any)" &amp; " " &amp; IF(P89="","",TEXT(P89,"M/D-")) &amp; IF(Q89="","",TEXT(Q89,"M/D")) &amp; " "</f>
        <v xml:space="preserve"> 0.00% Sprint#3 screen design update(if any) 11/18-11/22 </v>
      </c>
      <c r="AN89" s="169"/>
      <c r="AO89" s="169"/>
      <c r="AP89" s="169"/>
      <c r="AQ89" s="169"/>
      <c r="AR89" s="169"/>
      <c r="AS89" s="169"/>
    </row>
    <row r="90" spans="1:45" ht="12" customHeight="1" outlineLevel="4">
      <c r="A90" s="135"/>
      <c r="B90" s="135"/>
      <c r="C90" s="135">
        <v>5</v>
      </c>
      <c r="D90" s="165" t="s">
        <v>233</v>
      </c>
      <c r="E90" s="136"/>
      <c r="F90" s="219"/>
      <c r="G90" s="219"/>
      <c r="H90" s="219"/>
      <c r="I90" s="219" t="s">
        <v>234</v>
      </c>
      <c r="J90" s="224"/>
      <c r="K90" s="224"/>
      <c r="L90" s="224"/>
      <c r="M90" s="224"/>
      <c r="N90" s="136"/>
      <c r="O90" s="136"/>
      <c r="P90" s="137">
        <v>45614</v>
      </c>
      <c r="Q90" s="137">
        <v>45625</v>
      </c>
      <c r="R90" s="136"/>
      <c r="S90" s="138">
        <v>10</v>
      </c>
      <c r="T90" s="138">
        <v>10</v>
      </c>
      <c r="U90" s="138">
        <v>10</v>
      </c>
      <c r="V90" s="138">
        <v>10</v>
      </c>
      <c r="W90" s="137">
        <v>45614</v>
      </c>
      <c r="X90" s="137"/>
      <c r="Y90" s="139">
        <v>-32581</v>
      </c>
      <c r="Z90" s="140">
        <v>0</v>
      </c>
      <c r="AA90" s="138"/>
      <c r="AB90" s="136"/>
      <c r="AC90" s="141"/>
      <c r="AD90" s="164">
        <v>1</v>
      </c>
      <c r="AE90" s="209">
        <v>0</v>
      </c>
      <c r="AF90" s="168"/>
      <c r="AG90" s="169"/>
      <c r="AH90" s="169"/>
      <c r="AI90" s="169"/>
      <c r="AJ90" s="169"/>
      <c r="AK90" s="169"/>
      <c r="AL90" s="169"/>
      <c r="AM90" s="169" t="str">
        <f>" " &amp; TEXT(AE90,"#0.00%") &amp; " " &amp; "Sprint#4 screen design" &amp; " " &amp; IF(P90="","",TEXT(P90,"M/D-")) &amp; IF(Q90="","",TEXT(Q90,"M/D")) &amp; " "</f>
        <v xml:space="preserve"> 0.00% Sprint#4 screen design 11/18-11/29 </v>
      </c>
      <c r="AN90" s="169"/>
      <c r="AO90" s="169"/>
      <c r="AP90" s="169"/>
      <c r="AQ90" s="169"/>
      <c r="AR90" s="169"/>
      <c r="AS90" s="169"/>
    </row>
    <row r="91" spans="1:45" ht="12" customHeight="1" outlineLevel="3">
      <c r="A91" s="135"/>
      <c r="B91" s="135" t="s">
        <v>80</v>
      </c>
      <c r="C91" s="135">
        <v>4</v>
      </c>
      <c r="D91" s="165" t="s">
        <v>235</v>
      </c>
      <c r="E91" s="136"/>
      <c r="F91" s="219"/>
      <c r="G91" s="219"/>
      <c r="H91" s="212" t="s">
        <v>178</v>
      </c>
      <c r="I91" s="219"/>
      <c r="J91" s="224"/>
      <c r="K91" s="224"/>
      <c r="L91" s="224"/>
      <c r="M91" s="224"/>
      <c r="N91" s="136"/>
      <c r="O91" s="243" t="s">
        <v>179</v>
      </c>
      <c r="P91" s="137">
        <v>45614</v>
      </c>
      <c r="Q91" s="137">
        <v>45625</v>
      </c>
      <c r="R91" s="136"/>
      <c r="S91" s="138">
        <v>28</v>
      </c>
      <c r="T91" s="138">
        <v>28</v>
      </c>
      <c r="U91" s="138">
        <v>10</v>
      </c>
      <c r="V91" s="138">
        <v>10</v>
      </c>
      <c r="W91" s="137"/>
      <c r="X91" s="137"/>
      <c r="Y91" s="139">
        <v>0</v>
      </c>
      <c r="Z91" s="140">
        <v>0</v>
      </c>
      <c r="AA91" s="138"/>
      <c r="AB91" s="136"/>
      <c r="AC91" s="141"/>
      <c r="AD91" s="164">
        <v>1</v>
      </c>
      <c r="AE91" s="210">
        <v>0</v>
      </c>
      <c r="AF91" s="168"/>
      <c r="AG91" s="169"/>
      <c r="AH91" s="169"/>
      <c r="AI91" s="169"/>
      <c r="AJ91" s="169"/>
      <c r="AK91" s="169"/>
      <c r="AL91" s="169"/>
      <c r="AM91" s="169" t="str">
        <f>" " &amp; TEXT(AE91,"#0.00%") &amp; " " &amp; "Development" &amp; " " &amp; IF(P91="","",TEXT(P91,"M/D-")) &amp; IF(Q91="","",TEXT(Q91,"M/D")) &amp; " "</f>
        <v xml:space="preserve"> 0.00% Development 11/18-11/29 </v>
      </c>
      <c r="AN91" s="169"/>
      <c r="AO91" s="169"/>
      <c r="AP91" s="169"/>
      <c r="AQ91" s="169"/>
      <c r="AR91" s="169"/>
      <c r="AS91" s="169"/>
    </row>
    <row r="92" spans="1:45" ht="12" customHeight="1" outlineLevel="4">
      <c r="A92" s="135"/>
      <c r="B92" s="135"/>
      <c r="C92" s="135">
        <v>5</v>
      </c>
      <c r="D92" s="165" t="s">
        <v>236</v>
      </c>
      <c r="E92" s="136"/>
      <c r="F92" s="219"/>
      <c r="G92" s="219"/>
      <c r="H92" s="219"/>
      <c r="I92" s="268" t="s">
        <v>237</v>
      </c>
      <c r="J92" s="269"/>
      <c r="K92" s="224"/>
      <c r="L92" s="224"/>
      <c r="M92" s="224"/>
      <c r="N92" s="136"/>
      <c r="O92" s="136" t="s">
        <v>220</v>
      </c>
      <c r="P92" s="137">
        <v>45614</v>
      </c>
      <c r="Q92" s="137">
        <v>45615</v>
      </c>
      <c r="R92" s="136"/>
      <c r="S92" s="138">
        <v>2</v>
      </c>
      <c r="T92" s="138">
        <v>2</v>
      </c>
      <c r="U92" s="138">
        <v>2</v>
      </c>
      <c r="V92" s="138">
        <v>2</v>
      </c>
      <c r="W92" s="137"/>
      <c r="X92" s="137"/>
      <c r="Y92" s="139"/>
      <c r="Z92" s="140">
        <v>0</v>
      </c>
      <c r="AA92" s="138"/>
      <c r="AB92" s="136"/>
      <c r="AC92" s="141"/>
      <c r="AD92" s="164">
        <v>1</v>
      </c>
      <c r="AE92" s="209">
        <v>0</v>
      </c>
      <c r="AF92" s="168"/>
      <c r="AG92" s="169"/>
      <c r="AH92" s="169"/>
      <c r="AI92" s="169"/>
      <c r="AJ92" s="169"/>
      <c r="AK92" s="169"/>
      <c r="AL92" s="169"/>
      <c r="AM92" s="169" t="str">
        <f>" " &amp; TEXT(AE92,"#0.00%") &amp; " " &amp; "CMS010201 Permission list" &amp; " " &amp; IF(P92="","",TEXT(P92,"M/D-")) &amp; IF(Q92="","",TEXT(Q92,"M/D")) &amp; " "</f>
        <v xml:space="preserve"> 0.00% CMS010201 Permission list 11/18-11/19 </v>
      </c>
      <c r="AN92" s="169"/>
      <c r="AO92" s="169"/>
      <c r="AP92" s="169"/>
      <c r="AQ92" s="169"/>
      <c r="AR92" s="169"/>
      <c r="AS92" s="169"/>
    </row>
    <row r="93" spans="1:45" ht="12" customHeight="1" outlineLevel="4">
      <c r="A93" s="135"/>
      <c r="B93" s="135"/>
      <c r="C93" s="135">
        <v>5</v>
      </c>
      <c r="D93" s="165" t="s">
        <v>238</v>
      </c>
      <c r="E93" s="136"/>
      <c r="F93" s="219"/>
      <c r="G93" s="219"/>
      <c r="H93" s="219"/>
      <c r="I93" s="268" t="s">
        <v>239</v>
      </c>
      <c r="J93" s="269"/>
      <c r="K93" s="224"/>
      <c r="L93" s="224"/>
      <c r="M93" s="224"/>
      <c r="N93" s="136"/>
      <c r="O93" s="136" t="s">
        <v>220</v>
      </c>
      <c r="P93" s="137">
        <v>45614</v>
      </c>
      <c r="Q93" s="137">
        <v>45615</v>
      </c>
      <c r="R93" s="136"/>
      <c r="S93" s="138">
        <v>2</v>
      </c>
      <c r="T93" s="138">
        <v>2</v>
      </c>
      <c r="U93" s="138">
        <v>2</v>
      </c>
      <c r="V93" s="138">
        <v>2</v>
      </c>
      <c r="W93" s="137"/>
      <c r="X93" s="137"/>
      <c r="Y93" s="139"/>
      <c r="Z93" s="140">
        <v>0</v>
      </c>
      <c r="AA93" s="138"/>
      <c r="AB93" s="136"/>
      <c r="AC93" s="141"/>
      <c r="AD93" s="164">
        <v>1</v>
      </c>
      <c r="AE93" s="209">
        <v>0</v>
      </c>
      <c r="AF93" s="168"/>
      <c r="AG93" s="169"/>
      <c r="AH93" s="169"/>
      <c r="AI93" s="169"/>
      <c r="AJ93" s="169"/>
      <c r="AK93" s="169"/>
      <c r="AL93" s="169"/>
      <c r="AM93" s="169" t="str">
        <f>" " &amp; TEXT(AE93,"#0.00%") &amp; " " &amp; "CMS010202 Permission CRUD" &amp; " " &amp; IF(P93="","",TEXT(P93,"M/D-")) &amp; IF(Q93="","",TEXT(Q93,"M/D")) &amp; " "</f>
        <v xml:space="preserve"> 0.00% CMS010202 Permission CRUD 11/18-11/19 </v>
      </c>
      <c r="AN93" s="169"/>
      <c r="AO93" s="169"/>
      <c r="AP93" s="169"/>
      <c r="AQ93" s="169"/>
      <c r="AR93" s="169"/>
      <c r="AS93" s="169"/>
    </row>
    <row r="94" spans="1:45" ht="12" customHeight="1" outlineLevel="4">
      <c r="A94" s="135"/>
      <c r="B94" s="135"/>
      <c r="C94" s="135">
        <v>5</v>
      </c>
      <c r="D94" s="165" t="s">
        <v>240</v>
      </c>
      <c r="E94" s="136"/>
      <c r="F94" s="219"/>
      <c r="G94" s="219"/>
      <c r="H94" s="219"/>
      <c r="I94" s="268" t="s">
        <v>241</v>
      </c>
      <c r="J94" s="269"/>
      <c r="K94" s="224"/>
      <c r="L94" s="224"/>
      <c r="M94" s="224"/>
      <c r="N94" s="136"/>
      <c r="O94" s="136" t="s">
        <v>220</v>
      </c>
      <c r="P94" s="137">
        <v>45614</v>
      </c>
      <c r="Q94" s="137">
        <v>45615</v>
      </c>
      <c r="R94" s="136"/>
      <c r="S94" s="138">
        <v>2</v>
      </c>
      <c r="T94" s="138">
        <v>2</v>
      </c>
      <c r="U94" s="138">
        <v>2</v>
      </c>
      <c r="V94" s="138">
        <v>2</v>
      </c>
      <c r="W94" s="137"/>
      <c r="X94" s="137"/>
      <c r="Y94" s="139"/>
      <c r="Z94" s="140">
        <v>0</v>
      </c>
      <c r="AA94" s="138"/>
      <c r="AB94" s="136"/>
      <c r="AC94" s="141"/>
      <c r="AD94" s="164">
        <v>1</v>
      </c>
      <c r="AE94" s="209">
        <v>0</v>
      </c>
      <c r="AF94" s="168"/>
      <c r="AG94" s="169"/>
      <c r="AH94" s="169"/>
      <c r="AI94" s="169"/>
      <c r="AJ94" s="169"/>
      <c r="AK94" s="169"/>
      <c r="AL94" s="169"/>
      <c r="AM94" s="169" t="str">
        <f>" " &amp; TEXT(AE94,"#0.00%") &amp; " " &amp; "CMS010401 Menu list" &amp; " " &amp; IF(P94="","",TEXT(P94,"M/D-")) &amp; IF(Q94="","",TEXT(Q94,"M/D")) &amp; " "</f>
        <v xml:space="preserve"> 0.00% CMS010401 Menu list 11/18-11/19 </v>
      </c>
      <c r="AN94" s="169"/>
      <c r="AO94" s="169"/>
      <c r="AP94" s="169"/>
      <c r="AQ94" s="169"/>
      <c r="AR94" s="169"/>
      <c r="AS94" s="169"/>
    </row>
    <row r="95" spans="1:45" ht="12" customHeight="1" outlineLevel="4">
      <c r="A95" s="135"/>
      <c r="B95" s="135"/>
      <c r="C95" s="135">
        <v>5</v>
      </c>
      <c r="D95" s="165" t="s">
        <v>242</v>
      </c>
      <c r="E95" s="136"/>
      <c r="F95" s="219"/>
      <c r="G95" s="219"/>
      <c r="H95" s="219"/>
      <c r="I95" s="268" t="s">
        <v>243</v>
      </c>
      <c r="J95" s="269"/>
      <c r="K95" s="224"/>
      <c r="L95" s="224"/>
      <c r="M95" s="224"/>
      <c r="N95" s="136"/>
      <c r="O95" s="136" t="s">
        <v>220</v>
      </c>
      <c r="P95" s="137">
        <v>45614</v>
      </c>
      <c r="Q95" s="137">
        <v>45615</v>
      </c>
      <c r="R95" s="136"/>
      <c r="S95" s="138">
        <v>2</v>
      </c>
      <c r="T95" s="138">
        <v>2</v>
      </c>
      <c r="U95" s="138">
        <v>2</v>
      </c>
      <c r="V95" s="138">
        <v>2</v>
      </c>
      <c r="W95" s="137"/>
      <c r="X95" s="137"/>
      <c r="Y95" s="139"/>
      <c r="Z95" s="140">
        <v>0</v>
      </c>
      <c r="AA95" s="138"/>
      <c r="AB95" s="136"/>
      <c r="AC95" s="141"/>
      <c r="AD95" s="164">
        <v>1</v>
      </c>
      <c r="AE95" s="209">
        <v>0</v>
      </c>
      <c r="AF95" s="168"/>
      <c r="AG95" s="169"/>
      <c r="AH95" s="169"/>
      <c r="AI95" s="169"/>
      <c r="AJ95" s="169"/>
      <c r="AK95" s="169"/>
      <c r="AL95" s="169"/>
      <c r="AM95" s="169" t="str">
        <f>" " &amp; TEXT(AE95,"#0.00%") &amp; " " &amp; "CMS010402 Menu CRUD" &amp; " " &amp; IF(P95="","",TEXT(P95,"M/D-")) &amp; IF(Q95="","",TEXT(Q95,"M/D")) &amp; " "</f>
        <v xml:space="preserve"> 0.00% CMS010402 Menu CRUD 11/18-11/19 </v>
      </c>
      <c r="AN95" s="169"/>
      <c r="AO95" s="169"/>
      <c r="AP95" s="169"/>
      <c r="AQ95" s="169"/>
      <c r="AR95" s="169"/>
      <c r="AS95" s="169"/>
    </row>
    <row r="96" spans="1:45" ht="12" customHeight="1" outlineLevel="4">
      <c r="A96" s="135"/>
      <c r="B96" s="135"/>
      <c r="C96" s="135">
        <v>5</v>
      </c>
      <c r="D96" s="165" t="s">
        <v>244</v>
      </c>
      <c r="E96" s="136"/>
      <c r="F96" s="219"/>
      <c r="G96" s="219"/>
      <c r="H96" s="219"/>
      <c r="I96" s="268" t="s">
        <v>245</v>
      </c>
      <c r="J96" s="269"/>
      <c r="K96" s="224"/>
      <c r="L96" s="224"/>
      <c r="M96" s="224"/>
      <c r="N96" s="136"/>
      <c r="O96" s="136" t="s">
        <v>220</v>
      </c>
      <c r="P96" s="137">
        <v>45616</v>
      </c>
      <c r="Q96" s="137">
        <v>45621</v>
      </c>
      <c r="R96" s="136"/>
      <c r="S96" s="138">
        <v>4</v>
      </c>
      <c r="T96" s="138">
        <v>4</v>
      </c>
      <c r="U96" s="138">
        <v>4</v>
      </c>
      <c r="V96" s="138">
        <v>4</v>
      </c>
      <c r="W96" s="137"/>
      <c r="X96" s="137"/>
      <c r="Y96" s="139"/>
      <c r="Z96" s="140">
        <v>0</v>
      </c>
      <c r="AA96" s="138"/>
      <c r="AB96" s="136"/>
      <c r="AC96" s="141"/>
      <c r="AD96" s="164">
        <v>1</v>
      </c>
      <c r="AE96" s="209">
        <v>0</v>
      </c>
      <c r="AF96" s="168"/>
      <c r="AG96" s="169"/>
      <c r="AH96" s="169"/>
      <c r="AI96" s="169"/>
      <c r="AJ96" s="169"/>
      <c r="AK96" s="169"/>
      <c r="AL96" s="169"/>
      <c r="AM96" s="169" t="str">
        <f>"   " &amp; TEXT(AE96,"#0.00%") &amp; " " &amp; "CMS010301 Role list" &amp; " " &amp; IF(P96="","",TEXT(P96,"M/D-")) &amp; IF(Q96="","",TEXT(Q96,"M/D")) &amp; " "</f>
        <v xml:space="preserve">   0.00% CMS010301 Role list 11/20-11/25 </v>
      </c>
      <c r="AN96" s="169"/>
      <c r="AO96" s="169"/>
      <c r="AP96" s="169"/>
      <c r="AQ96" s="169"/>
      <c r="AR96" s="169"/>
      <c r="AS96" s="169"/>
    </row>
    <row r="97" spans="1:45" ht="12" customHeight="1" outlineLevel="4">
      <c r="A97" s="135"/>
      <c r="B97" s="135"/>
      <c r="C97" s="135">
        <v>5</v>
      </c>
      <c r="D97" s="165" t="s">
        <v>246</v>
      </c>
      <c r="E97" s="136"/>
      <c r="F97" s="219"/>
      <c r="G97" s="219"/>
      <c r="H97" s="219"/>
      <c r="I97" s="219" t="s">
        <v>247</v>
      </c>
      <c r="J97" s="224"/>
      <c r="K97" s="224"/>
      <c r="L97" s="224"/>
      <c r="M97" s="224"/>
      <c r="N97" s="136"/>
      <c r="O97" s="136"/>
      <c r="P97" s="137">
        <v>45616</v>
      </c>
      <c r="Q97" s="137">
        <v>45621</v>
      </c>
      <c r="R97" s="136"/>
      <c r="S97" s="138">
        <v>4</v>
      </c>
      <c r="T97" s="138">
        <v>4</v>
      </c>
      <c r="U97" s="138">
        <v>4</v>
      </c>
      <c r="V97" s="138">
        <v>4</v>
      </c>
      <c r="W97" s="137"/>
      <c r="X97" s="137"/>
      <c r="Y97" s="139"/>
      <c r="Z97" s="140">
        <v>0</v>
      </c>
      <c r="AA97" s="138"/>
      <c r="AB97" s="136"/>
      <c r="AC97" s="141"/>
      <c r="AD97" s="164">
        <v>1</v>
      </c>
      <c r="AE97" s="209">
        <v>0</v>
      </c>
      <c r="AF97" s="168"/>
      <c r="AG97" s="169"/>
      <c r="AH97" s="169"/>
      <c r="AI97" s="169"/>
      <c r="AJ97" s="169"/>
      <c r="AK97" s="169"/>
      <c r="AL97" s="169"/>
      <c r="AM97" s="169" t="str">
        <f>"   " &amp; TEXT(AE97,"#0.00%") &amp; " " &amp; "CMS010302 Role CRUD" &amp; " " &amp; IF(P97="","",TEXT(P97,"M/D-")) &amp; IF(Q97="","",TEXT(Q97,"M/D")) &amp; " "</f>
        <v xml:space="preserve">   0.00% CMS010302 Role CRUD 11/20-11/25 </v>
      </c>
      <c r="AN97" s="169"/>
      <c r="AO97" s="169"/>
      <c r="AP97" s="169"/>
      <c r="AQ97" s="169"/>
      <c r="AR97" s="169"/>
      <c r="AS97" s="169"/>
    </row>
    <row r="98" spans="1:45" ht="12" customHeight="1" outlineLevel="4">
      <c r="A98" s="135"/>
      <c r="B98" s="135"/>
      <c r="C98" s="135">
        <v>5</v>
      </c>
      <c r="D98" s="165" t="s">
        <v>248</v>
      </c>
      <c r="E98" s="136"/>
      <c r="F98" s="219"/>
      <c r="G98" s="219"/>
      <c r="H98" s="219"/>
      <c r="I98" s="219" t="s">
        <v>249</v>
      </c>
      <c r="J98" s="224"/>
      <c r="K98" s="224"/>
      <c r="L98" s="224"/>
      <c r="M98" s="224"/>
      <c r="N98" s="136"/>
      <c r="O98" s="136"/>
      <c r="P98" s="137">
        <v>45622</v>
      </c>
      <c r="Q98" s="137">
        <v>45624</v>
      </c>
      <c r="R98" s="136"/>
      <c r="S98" s="138">
        <v>3</v>
      </c>
      <c r="T98" s="138">
        <v>3</v>
      </c>
      <c r="U98" s="138">
        <v>3</v>
      </c>
      <c r="V98" s="138">
        <v>3</v>
      </c>
      <c r="W98" s="137"/>
      <c r="X98" s="137"/>
      <c r="Y98" s="139"/>
      <c r="Z98" s="140">
        <v>0</v>
      </c>
      <c r="AA98" s="138"/>
      <c r="AB98" s="136"/>
      <c r="AC98" s="141"/>
      <c r="AD98" s="164">
        <v>1</v>
      </c>
      <c r="AE98" s="209">
        <v>0</v>
      </c>
      <c r="AF98" s="168"/>
      <c r="AG98" s="169"/>
      <c r="AH98" s="169"/>
      <c r="AI98" s="169"/>
      <c r="AJ98" s="169"/>
      <c r="AK98" s="169"/>
      <c r="AL98" s="169"/>
      <c r="AM98" s="169"/>
      <c r="AN98" s="169" t="str">
        <f>"  " &amp; TEXT(AE98,"#0.00%") &amp; " " &amp; "CMS010101 Group user list" &amp; " " &amp; IF(P98="","",TEXT(P98,"M/D-")) &amp; IF(Q98="","",TEXT(Q98,"M/D")) &amp; " "</f>
        <v xml:space="preserve">  0.00% CMS010101 Group user list 11/26-11/28 </v>
      </c>
      <c r="AO98" s="169"/>
      <c r="AP98" s="169"/>
      <c r="AQ98" s="169"/>
      <c r="AR98" s="169"/>
      <c r="AS98" s="169"/>
    </row>
    <row r="99" spans="1:45" ht="12" customHeight="1" outlineLevel="4">
      <c r="A99" s="135"/>
      <c r="B99" s="135"/>
      <c r="C99" s="135">
        <v>5</v>
      </c>
      <c r="D99" s="165" t="s">
        <v>250</v>
      </c>
      <c r="E99" s="136"/>
      <c r="F99" s="219"/>
      <c r="G99" s="219"/>
      <c r="H99" s="219"/>
      <c r="I99" s="224" t="s">
        <v>251</v>
      </c>
      <c r="J99" s="224"/>
      <c r="K99" s="224"/>
      <c r="L99" s="224"/>
      <c r="M99" s="224"/>
      <c r="N99" s="136"/>
      <c r="O99" s="136"/>
      <c r="P99" s="137">
        <v>45622</v>
      </c>
      <c r="Q99" s="137">
        <v>45624</v>
      </c>
      <c r="R99" s="136"/>
      <c r="S99" s="138">
        <v>3</v>
      </c>
      <c r="T99" s="138">
        <v>3</v>
      </c>
      <c r="U99" s="138">
        <v>3</v>
      </c>
      <c r="V99" s="138">
        <v>3</v>
      </c>
      <c r="W99" s="137"/>
      <c r="X99" s="137"/>
      <c r="Y99" s="139"/>
      <c r="Z99" s="140">
        <v>0</v>
      </c>
      <c r="AA99" s="138"/>
      <c r="AB99" s="136"/>
      <c r="AC99" s="141"/>
      <c r="AD99" s="164">
        <v>1</v>
      </c>
      <c r="AE99" s="209">
        <v>0</v>
      </c>
      <c r="AF99" s="168"/>
      <c r="AG99" s="169"/>
      <c r="AH99" s="169"/>
      <c r="AI99" s="169"/>
      <c r="AJ99" s="169"/>
      <c r="AK99" s="169"/>
      <c r="AL99" s="169"/>
      <c r="AM99" s="169"/>
      <c r="AN99" s="169" t="str">
        <f>"  " &amp; TEXT(AE99,"#0.00%") &amp; " " &amp; "CMS010102 Group user CRUD" &amp; " " &amp; IF(P99="","",TEXT(P99,"M/D-")) &amp; IF(Q99="","",TEXT(Q99,"M/D")) &amp; " "</f>
        <v xml:space="preserve">  0.00% CMS010102 Group user CRUD 11/26-11/28 </v>
      </c>
      <c r="AO99" s="169"/>
      <c r="AP99" s="169"/>
      <c r="AQ99" s="169"/>
      <c r="AR99" s="169"/>
      <c r="AS99" s="169"/>
    </row>
    <row r="100" spans="1:45" ht="12" customHeight="1" outlineLevel="4">
      <c r="A100" s="135"/>
      <c r="B100" s="135"/>
      <c r="C100" s="135">
        <v>5</v>
      </c>
      <c r="D100" s="165" t="s">
        <v>252</v>
      </c>
      <c r="E100" s="136"/>
      <c r="F100" s="219"/>
      <c r="G100" s="219"/>
      <c r="H100" s="219"/>
      <c r="I100" s="219" t="s">
        <v>253</v>
      </c>
      <c r="J100" s="219"/>
      <c r="K100" s="219"/>
      <c r="L100" s="136"/>
      <c r="M100" s="136"/>
      <c r="N100" s="136"/>
      <c r="O100" s="136"/>
      <c r="P100" s="137">
        <v>45623</v>
      </c>
      <c r="Q100" s="137">
        <v>45625</v>
      </c>
      <c r="R100" s="136"/>
      <c r="S100" s="138">
        <v>3</v>
      </c>
      <c r="T100" s="138">
        <v>3</v>
      </c>
      <c r="U100" s="138">
        <v>3</v>
      </c>
      <c r="V100" s="138">
        <v>3</v>
      </c>
      <c r="W100" s="137"/>
      <c r="X100" s="137"/>
      <c r="Y100" s="139"/>
      <c r="Z100" s="140">
        <v>0</v>
      </c>
      <c r="AA100" s="138"/>
      <c r="AB100" s="136"/>
      <c r="AC100" s="141"/>
      <c r="AD100" s="164">
        <v>1</v>
      </c>
      <c r="AE100" s="209">
        <v>0</v>
      </c>
      <c r="AF100" s="168"/>
      <c r="AG100" s="169"/>
      <c r="AH100" s="169"/>
      <c r="AI100" s="169"/>
      <c r="AJ100" s="169"/>
      <c r="AK100" s="169"/>
      <c r="AL100" s="169"/>
      <c r="AM100" s="169"/>
      <c r="AN100" s="169" t="str">
        <f>"   " &amp; TEXT(AE100,"#0.00%") &amp; " " &amp; "CMS020501 Content preview" &amp; " " &amp; IF(P100="","",TEXT(P100,"M/D-")) &amp; IF(Q100="","",TEXT(Q100,"M/D")) &amp; " "</f>
        <v xml:space="preserve">   0.00% CMS020501 Content preview 11/27-11/29 </v>
      </c>
      <c r="AO100" s="169"/>
      <c r="AP100" s="169"/>
      <c r="AQ100" s="169"/>
      <c r="AR100" s="169"/>
      <c r="AS100" s="169"/>
    </row>
    <row r="101" spans="1:45" ht="12" customHeight="1" outlineLevel="4">
      <c r="A101" s="135"/>
      <c r="B101" s="135"/>
      <c r="C101" s="135">
        <v>5</v>
      </c>
      <c r="D101" s="165" t="s">
        <v>1697</v>
      </c>
      <c r="E101" s="136"/>
      <c r="F101" s="219"/>
      <c r="G101" s="219"/>
      <c r="H101" s="219"/>
      <c r="I101" s="267" t="s">
        <v>254</v>
      </c>
      <c r="J101" s="219"/>
      <c r="K101" s="219"/>
      <c r="L101" s="136"/>
      <c r="M101" s="136"/>
      <c r="N101" s="136"/>
      <c r="O101" s="136"/>
      <c r="P101" s="137">
        <v>45623</v>
      </c>
      <c r="Q101" s="137">
        <v>45625</v>
      </c>
      <c r="R101" s="136"/>
      <c r="S101" s="138">
        <v>3</v>
      </c>
      <c r="T101" s="138">
        <v>3</v>
      </c>
      <c r="U101" s="138">
        <v>3</v>
      </c>
      <c r="V101" s="138">
        <v>3</v>
      </c>
      <c r="W101" s="137"/>
      <c r="X101" s="137"/>
      <c r="Y101" s="139"/>
      <c r="Z101" s="140">
        <v>0</v>
      </c>
      <c r="AA101" s="138"/>
      <c r="AB101" s="136"/>
      <c r="AC101" s="141"/>
      <c r="AD101" s="164">
        <v>1</v>
      </c>
      <c r="AE101" s="209">
        <v>0</v>
      </c>
      <c r="AF101" s="168"/>
      <c r="AG101" s="169"/>
      <c r="AH101" s="169"/>
      <c r="AI101" s="169"/>
      <c r="AJ101" s="169"/>
      <c r="AK101" s="169"/>
      <c r="AL101" s="169"/>
      <c r="AM101" s="169"/>
      <c r="AN101" s="169" t="str">
        <f>"   " &amp; TEXT(AE101,"#0.00%") &amp; " " &amp; "CMS020502 Content demo" &amp; " " &amp; IF(P101="","",TEXT(P101,"M/D-")) &amp; IF(Q101="","",TEXT(Q101,"M/D")) &amp; " "</f>
        <v xml:space="preserve">   0.00% CMS020502 Content demo 11/27-11/29 </v>
      </c>
      <c r="AO101" s="169"/>
      <c r="AP101" s="169"/>
      <c r="AQ101" s="169"/>
      <c r="AR101" s="169"/>
      <c r="AS101" s="169"/>
    </row>
    <row r="102" spans="1:45" s="247" customFormat="1" ht="12" customHeight="1" outlineLevel="3">
      <c r="A102" s="246"/>
      <c r="B102" s="246"/>
      <c r="C102" s="246">
        <v>4</v>
      </c>
      <c r="D102" s="245" t="s">
        <v>255</v>
      </c>
      <c r="E102" s="216"/>
      <c r="F102" s="222"/>
      <c r="G102" s="222"/>
      <c r="H102" s="222" t="s">
        <v>189</v>
      </c>
      <c r="I102" s="222"/>
      <c r="J102" s="222"/>
      <c r="K102" s="222"/>
      <c r="L102" s="216"/>
      <c r="M102" s="216"/>
      <c r="N102" s="216"/>
      <c r="O102" s="216"/>
      <c r="P102" s="218">
        <v>45625</v>
      </c>
      <c r="Q102" s="218">
        <v>45625</v>
      </c>
      <c r="R102" s="216"/>
      <c r="S102" s="232">
        <v>1</v>
      </c>
      <c r="T102" s="232">
        <v>1</v>
      </c>
      <c r="U102" s="232">
        <v>1</v>
      </c>
      <c r="V102" s="232">
        <v>1</v>
      </c>
      <c r="W102" s="218"/>
      <c r="X102" s="218"/>
      <c r="Y102" s="233"/>
      <c r="Z102" s="234">
        <v>0</v>
      </c>
      <c r="AA102" s="232"/>
      <c r="AB102" s="216"/>
      <c r="AC102" s="235"/>
      <c r="AD102" s="251">
        <v>1</v>
      </c>
      <c r="AE102" s="209">
        <v>0</v>
      </c>
      <c r="AF102" s="168"/>
      <c r="AG102" s="169"/>
      <c r="AH102" s="169"/>
      <c r="AI102" s="169"/>
      <c r="AJ102" s="169"/>
      <c r="AK102" s="169"/>
      <c r="AL102" s="169"/>
      <c r="AM102" s="169"/>
      <c r="AN102" s="169" t="str">
        <f>"     " &amp; TEXT(AE102,"#0.00%") &amp; " " &amp; "Sprint Review" &amp; " " &amp; IF(P102="","",TEXT(P102,"M/D-")) &amp; IF(Q102="","",TEXT(Q102,"M/D")) &amp; " "</f>
        <v xml:space="preserve">     0.00% Sprint Review 11/29-11/29 </v>
      </c>
      <c r="AO102" s="169"/>
      <c r="AP102" s="169"/>
      <c r="AQ102" s="169"/>
      <c r="AR102" s="169"/>
      <c r="AS102" s="169"/>
    </row>
    <row r="103" spans="1:45" s="247" customFormat="1" ht="12" customHeight="1" outlineLevel="3">
      <c r="A103" s="246"/>
      <c r="B103" s="246"/>
      <c r="C103" s="246">
        <v>4</v>
      </c>
      <c r="D103" s="245" t="s">
        <v>256</v>
      </c>
      <c r="E103" s="216"/>
      <c r="F103" s="222"/>
      <c r="G103" s="222"/>
      <c r="H103" s="222" t="s">
        <v>191</v>
      </c>
      <c r="I103" s="222"/>
      <c r="J103" s="222"/>
      <c r="K103" s="222"/>
      <c r="L103" s="216"/>
      <c r="M103" s="216"/>
      <c r="N103" s="216"/>
      <c r="O103" s="216"/>
      <c r="P103" s="218">
        <v>45625</v>
      </c>
      <c r="Q103" s="218">
        <v>45625</v>
      </c>
      <c r="R103" s="216"/>
      <c r="S103" s="232">
        <v>1</v>
      </c>
      <c r="T103" s="232">
        <v>1</v>
      </c>
      <c r="U103" s="232">
        <v>1</v>
      </c>
      <c r="V103" s="232">
        <v>1</v>
      </c>
      <c r="W103" s="218"/>
      <c r="X103" s="218"/>
      <c r="Y103" s="233"/>
      <c r="Z103" s="234">
        <v>0</v>
      </c>
      <c r="AA103" s="232"/>
      <c r="AB103" s="216"/>
      <c r="AC103" s="235"/>
      <c r="AD103" s="251">
        <v>1</v>
      </c>
      <c r="AE103" s="209">
        <v>0</v>
      </c>
      <c r="AF103" s="168"/>
      <c r="AG103" s="169"/>
      <c r="AH103" s="169"/>
      <c r="AI103" s="169"/>
      <c r="AJ103" s="169"/>
      <c r="AK103" s="169"/>
      <c r="AL103" s="169"/>
      <c r="AM103" s="169"/>
      <c r="AN103" s="169" t="str">
        <f>"     " &amp; TEXT(AE103,"#0.00%") &amp; " " &amp; "Sprint Retrospective" &amp; " " &amp; IF(P103="","",TEXT(P103,"M/D-")) &amp; IF(Q103="","",TEXT(Q103,"M/D")) &amp; " "</f>
        <v xml:space="preserve">     0.00% Sprint Retrospective 11/29-11/29 </v>
      </c>
      <c r="AO103" s="169"/>
      <c r="AP103" s="169"/>
      <c r="AQ103" s="169"/>
      <c r="AR103" s="169"/>
      <c r="AS103" s="169"/>
    </row>
    <row r="104" spans="1:45" ht="12" customHeight="1" outlineLevel="2">
      <c r="A104" s="135"/>
      <c r="B104" s="135" t="s">
        <v>80</v>
      </c>
      <c r="C104" s="135">
        <v>3</v>
      </c>
      <c r="D104" s="165" t="s">
        <v>257</v>
      </c>
      <c r="E104" s="136"/>
      <c r="F104" s="212"/>
      <c r="G104" s="212" t="s">
        <v>258</v>
      </c>
      <c r="H104" s="212"/>
      <c r="I104" s="212"/>
      <c r="J104" s="212"/>
      <c r="K104" s="212"/>
      <c r="L104" s="136"/>
      <c r="M104" s="136"/>
      <c r="N104" s="136"/>
      <c r="O104" s="136"/>
      <c r="P104" s="137">
        <v>45628</v>
      </c>
      <c r="Q104" s="137">
        <v>45639</v>
      </c>
      <c r="R104" s="136"/>
      <c r="S104" s="138">
        <v>29</v>
      </c>
      <c r="T104" s="138">
        <v>29</v>
      </c>
      <c r="U104" s="138">
        <v>10</v>
      </c>
      <c r="V104" s="138">
        <v>10</v>
      </c>
      <c r="W104" s="137"/>
      <c r="X104" s="137"/>
      <c r="Y104" s="139">
        <v>0</v>
      </c>
      <c r="Z104" s="140">
        <v>0</v>
      </c>
      <c r="AA104" s="138"/>
      <c r="AB104" s="136"/>
      <c r="AC104" s="141"/>
      <c r="AD104" s="164">
        <v>1</v>
      </c>
      <c r="AE104" s="210">
        <v>0</v>
      </c>
      <c r="AF104" s="168"/>
      <c r="AG104" s="169"/>
      <c r="AH104" s="169"/>
      <c r="AI104" s="169"/>
      <c r="AJ104" s="169"/>
      <c r="AK104" s="169"/>
      <c r="AL104" s="169"/>
      <c r="AM104" s="169"/>
      <c r="AN104" s="169"/>
      <c r="AO104" s="169" t="str">
        <f>" " &amp; TEXT(AE104,"#0.00%") &amp; " " &amp; "Sprint#4" &amp; " " &amp; IF(P104="","",TEXT(P104,"M/D-")) &amp; IF(Q104="","",TEXT(Q104,"M/D")) &amp; " "</f>
        <v xml:space="preserve"> 0.00% Sprint#4 12/2-12/13 </v>
      </c>
      <c r="AP104" s="169"/>
      <c r="AQ104" s="169"/>
      <c r="AR104" s="169"/>
      <c r="AS104" s="169"/>
    </row>
    <row r="105" spans="1:45" ht="12" customHeight="1" outlineLevel="3">
      <c r="A105" s="135"/>
      <c r="B105" s="135"/>
      <c r="C105" s="135">
        <v>4</v>
      </c>
      <c r="D105" s="165" t="s">
        <v>259</v>
      </c>
      <c r="E105" s="136"/>
      <c r="F105" s="136"/>
      <c r="G105" s="136"/>
      <c r="H105" s="136" t="s">
        <v>169</v>
      </c>
      <c r="I105" s="136"/>
      <c r="J105" s="136"/>
      <c r="K105" s="136"/>
      <c r="L105" s="136"/>
      <c r="M105" s="136"/>
      <c r="N105" s="136"/>
      <c r="O105" s="136"/>
      <c r="P105" s="137">
        <v>45628</v>
      </c>
      <c r="Q105" s="137">
        <v>45628</v>
      </c>
      <c r="R105" s="136"/>
      <c r="S105" s="138">
        <v>1</v>
      </c>
      <c r="T105" s="138">
        <v>1</v>
      </c>
      <c r="U105" s="138">
        <v>1</v>
      </c>
      <c r="V105" s="138">
        <v>1</v>
      </c>
      <c r="W105" s="137"/>
      <c r="X105" s="137"/>
      <c r="Y105" s="139"/>
      <c r="Z105" s="140">
        <v>0</v>
      </c>
      <c r="AA105" s="138"/>
      <c r="AB105" s="136"/>
      <c r="AC105" s="141"/>
      <c r="AD105" s="164">
        <v>1</v>
      </c>
      <c r="AE105" s="209">
        <v>0</v>
      </c>
      <c r="AF105" s="168"/>
      <c r="AG105" s="169"/>
      <c r="AH105" s="169"/>
      <c r="AI105" s="169"/>
      <c r="AJ105" s="169"/>
      <c r="AK105" s="169"/>
      <c r="AL105" s="169"/>
      <c r="AM105" s="169"/>
      <c r="AN105" s="169"/>
      <c r="AO105" s="169" t="str">
        <f>" " &amp; TEXT(AE105,"#0.00%") &amp; " " &amp; "Sprint (Re)planning" &amp; " " &amp; IF(P105="","",TEXT(P105,"M/D-")) &amp; IF(Q105="","",TEXT(Q105,"M/D")) &amp; " "</f>
        <v xml:space="preserve"> 0.00% Sprint (Re)planning 12/2-12/2 </v>
      </c>
      <c r="AP105" s="169"/>
      <c r="AQ105" s="169"/>
      <c r="AR105" s="169"/>
      <c r="AS105" s="169"/>
    </row>
    <row r="106" spans="1:45" ht="12" customHeight="1" outlineLevel="3">
      <c r="A106" s="135"/>
      <c r="B106" s="135"/>
      <c r="C106" s="135">
        <v>4</v>
      </c>
      <c r="D106" s="165" t="s">
        <v>260</v>
      </c>
      <c r="E106" s="136"/>
      <c r="F106" s="136"/>
      <c r="G106" s="136"/>
      <c r="H106" s="136" t="s">
        <v>171</v>
      </c>
      <c r="I106" s="136"/>
      <c r="J106" s="136"/>
      <c r="K106" s="136"/>
      <c r="L106" s="136"/>
      <c r="M106" s="136"/>
      <c r="N106" s="136"/>
      <c r="O106" s="136"/>
      <c r="P106" s="137">
        <v>45628</v>
      </c>
      <c r="Q106" s="137">
        <v>45628</v>
      </c>
      <c r="R106" s="136"/>
      <c r="S106" s="138">
        <v>1</v>
      </c>
      <c r="T106" s="138">
        <v>1</v>
      </c>
      <c r="U106" s="138">
        <v>1</v>
      </c>
      <c r="V106" s="138">
        <v>1</v>
      </c>
      <c r="W106" s="137"/>
      <c r="X106" s="137"/>
      <c r="Y106" s="139"/>
      <c r="Z106" s="140">
        <v>0</v>
      </c>
      <c r="AA106" s="138"/>
      <c r="AB106" s="136"/>
      <c r="AC106" s="141"/>
      <c r="AD106" s="164">
        <v>1</v>
      </c>
      <c r="AE106" s="209">
        <v>0</v>
      </c>
      <c r="AF106" s="168"/>
      <c r="AG106" s="169"/>
      <c r="AH106" s="169"/>
      <c r="AI106" s="169"/>
      <c r="AJ106" s="169"/>
      <c r="AK106" s="169"/>
      <c r="AL106" s="169"/>
      <c r="AM106" s="169"/>
      <c r="AN106" s="169"/>
      <c r="AO106" s="169" t="str">
        <f>" " &amp; TEXT(AE106,"#0.00%") &amp; " " &amp; "Backlog Refinement" &amp; " " &amp; IF(P106="","",TEXT(P106,"M/D-")) &amp; IF(Q106="","",TEXT(Q106,"M/D")) &amp; " "</f>
        <v xml:space="preserve"> 0.00% Backlog Refinement 12/2-12/2 </v>
      </c>
      <c r="AP106" s="169"/>
      <c r="AQ106" s="169"/>
      <c r="AR106" s="169"/>
      <c r="AS106" s="169"/>
    </row>
    <row r="107" spans="1:45" ht="12" customHeight="1" outlineLevel="3">
      <c r="A107" s="135"/>
      <c r="B107" s="135" t="s">
        <v>80</v>
      </c>
      <c r="C107" s="135">
        <v>4</v>
      </c>
      <c r="D107" s="221" t="s">
        <v>261</v>
      </c>
      <c r="E107" s="212"/>
      <c r="F107" s="212"/>
      <c r="G107" s="212"/>
      <c r="H107" s="219" t="s">
        <v>138</v>
      </c>
      <c r="I107" s="212"/>
      <c r="J107" s="212"/>
      <c r="K107" s="212"/>
      <c r="L107" s="136"/>
      <c r="M107" s="136"/>
      <c r="N107" s="136"/>
      <c r="O107" s="136"/>
      <c r="P107" s="137">
        <v>45628</v>
      </c>
      <c r="Q107" s="137">
        <v>45632</v>
      </c>
      <c r="R107" s="136"/>
      <c r="S107" s="138">
        <v>5</v>
      </c>
      <c r="T107" s="138">
        <v>5</v>
      </c>
      <c r="U107" s="138">
        <v>5</v>
      </c>
      <c r="V107" s="138">
        <v>5</v>
      </c>
      <c r="W107" s="137"/>
      <c r="X107" s="137"/>
      <c r="Y107" s="139">
        <v>0</v>
      </c>
      <c r="Z107" s="140">
        <v>0</v>
      </c>
      <c r="AA107" s="138"/>
      <c r="AB107" s="136"/>
      <c r="AC107" s="141"/>
      <c r="AD107" s="164">
        <v>1</v>
      </c>
      <c r="AE107" s="210">
        <v>0</v>
      </c>
      <c r="AF107" s="168"/>
      <c r="AG107" s="169"/>
      <c r="AH107" s="169"/>
      <c r="AI107" s="169"/>
      <c r="AJ107" s="169"/>
      <c r="AK107" s="169"/>
      <c r="AL107" s="169"/>
      <c r="AM107" s="169"/>
      <c r="AN107" s="169"/>
      <c r="AO107" s="169" t="str">
        <f>" " &amp; TEXT(AE107,"#0.00%") &amp; " " &amp; "Detail Design" &amp; " " &amp; IF(P107="","",TEXT(P107,"M/D-")) &amp; IF(Q107="","",TEXT(Q107,"M/D")) &amp; " "</f>
        <v xml:space="preserve"> 0.00% Detail Design 12/2-12/6 </v>
      </c>
      <c r="AP107" s="169"/>
      <c r="AQ107" s="169"/>
      <c r="AR107" s="169"/>
      <c r="AS107" s="169"/>
    </row>
    <row r="108" spans="1:45" ht="12" customHeight="1" outlineLevel="4">
      <c r="A108" s="135"/>
      <c r="B108" s="135"/>
      <c r="C108" s="135">
        <v>5</v>
      </c>
      <c r="D108" s="165" t="s">
        <v>262</v>
      </c>
      <c r="E108" s="136"/>
      <c r="F108" s="136"/>
      <c r="G108" s="136"/>
      <c r="H108" s="136"/>
      <c r="I108" s="136" t="s">
        <v>263</v>
      </c>
      <c r="J108" s="136"/>
      <c r="K108" s="136"/>
      <c r="L108" s="136"/>
      <c r="M108" s="136"/>
      <c r="N108" s="136"/>
      <c r="O108" s="136"/>
      <c r="P108" s="137">
        <v>45628</v>
      </c>
      <c r="Q108" s="137">
        <v>45632</v>
      </c>
      <c r="R108" s="136"/>
      <c r="S108" s="138">
        <v>5</v>
      </c>
      <c r="T108" s="138">
        <v>5</v>
      </c>
      <c r="U108" s="138">
        <v>5</v>
      </c>
      <c r="V108" s="138">
        <v>5</v>
      </c>
      <c r="W108" s="137"/>
      <c r="X108" s="137"/>
      <c r="Y108" s="139"/>
      <c r="Z108" s="140">
        <v>0</v>
      </c>
      <c r="AA108" s="138"/>
      <c r="AB108" s="136"/>
      <c r="AC108" s="141"/>
      <c r="AD108" s="164">
        <v>1</v>
      </c>
      <c r="AE108" s="209">
        <v>0</v>
      </c>
      <c r="AF108" s="168"/>
      <c r="AG108" s="169"/>
      <c r="AH108" s="169"/>
      <c r="AI108" s="169"/>
      <c r="AJ108" s="169"/>
      <c r="AK108" s="169"/>
      <c r="AL108" s="169"/>
      <c r="AM108" s="169"/>
      <c r="AN108" s="169"/>
      <c r="AO108" s="169" t="str">
        <f>" " &amp; TEXT(AE108,"#0.00%") &amp; " " &amp; "Sprint#4 screen design update(if any)" &amp; " " &amp; IF(P108="","",TEXT(P108,"M/D-")) &amp; IF(Q108="","",TEXT(Q108,"M/D")) &amp; " "</f>
        <v xml:space="preserve"> 0.00% Sprint#4 screen design update(if any) 12/2-12/6 </v>
      </c>
      <c r="AP108" s="169"/>
      <c r="AQ108" s="169"/>
      <c r="AR108" s="169"/>
      <c r="AS108" s="169"/>
    </row>
    <row r="109" spans="1:45" ht="12" customHeight="1" outlineLevel="3">
      <c r="A109" s="135"/>
      <c r="B109" s="135" t="s">
        <v>80</v>
      </c>
      <c r="C109" s="135">
        <v>4</v>
      </c>
      <c r="D109" s="221" t="s">
        <v>264</v>
      </c>
      <c r="E109" s="212"/>
      <c r="F109" s="212"/>
      <c r="G109" s="212"/>
      <c r="H109" s="212" t="s">
        <v>178</v>
      </c>
      <c r="I109" s="219"/>
      <c r="J109" s="224"/>
      <c r="K109" s="224"/>
      <c r="L109" s="224"/>
      <c r="M109" s="224"/>
      <c r="N109" s="136"/>
      <c r="O109" s="243" t="s">
        <v>179</v>
      </c>
      <c r="P109" s="137">
        <v>45628</v>
      </c>
      <c r="Q109" s="137">
        <v>45639</v>
      </c>
      <c r="R109" s="136"/>
      <c r="S109" s="138">
        <v>20</v>
      </c>
      <c r="T109" s="138">
        <v>20</v>
      </c>
      <c r="U109" s="138">
        <v>10</v>
      </c>
      <c r="V109" s="138">
        <v>10</v>
      </c>
      <c r="W109" s="137"/>
      <c r="X109" s="137"/>
      <c r="Y109" s="139">
        <v>0</v>
      </c>
      <c r="Z109" s="140">
        <v>0</v>
      </c>
      <c r="AA109" s="138"/>
      <c r="AB109" s="136"/>
      <c r="AC109" s="141"/>
      <c r="AD109" s="164">
        <v>1</v>
      </c>
      <c r="AE109" s="210">
        <v>0</v>
      </c>
      <c r="AF109" s="168"/>
      <c r="AG109" s="169"/>
      <c r="AH109" s="169"/>
      <c r="AI109" s="169"/>
      <c r="AJ109" s="169"/>
      <c r="AK109" s="169"/>
      <c r="AL109" s="169"/>
      <c r="AM109" s="169"/>
      <c r="AN109" s="169"/>
      <c r="AO109" s="169" t="str">
        <f>" " &amp; TEXT(AE109,"#0.00%") &amp; " " &amp; "Development" &amp; " " &amp; IF(P109="","",TEXT(P109,"M/D-")) &amp; IF(Q109="","",TEXT(Q109,"M/D")) &amp; " "</f>
        <v xml:space="preserve"> 0.00% Development 12/2-12/13 </v>
      </c>
      <c r="AP109" s="169"/>
      <c r="AQ109" s="169"/>
      <c r="AR109" s="169"/>
      <c r="AS109" s="169"/>
    </row>
    <row r="110" spans="1:45" ht="12" customHeight="1" outlineLevel="4">
      <c r="A110" s="135"/>
      <c r="B110" s="135"/>
      <c r="C110" s="135">
        <v>5</v>
      </c>
      <c r="D110" s="165" t="s">
        <v>265</v>
      </c>
      <c r="E110" s="136"/>
      <c r="F110" s="136"/>
      <c r="G110" s="136"/>
      <c r="H110" s="136"/>
      <c r="I110" s="136" t="s">
        <v>266</v>
      </c>
      <c r="J110" s="136"/>
      <c r="K110" s="136"/>
      <c r="L110" s="136"/>
      <c r="M110" s="136"/>
      <c r="N110" s="136"/>
      <c r="O110" s="136"/>
      <c r="P110" s="137">
        <v>45628</v>
      </c>
      <c r="Q110" s="137">
        <v>45629</v>
      </c>
      <c r="R110" s="136"/>
      <c r="S110" s="138">
        <v>2</v>
      </c>
      <c r="T110" s="138">
        <v>2</v>
      </c>
      <c r="U110" s="138">
        <v>2</v>
      </c>
      <c r="V110" s="138">
        <v>2</v>
      </c>
      <c r="W110" s="137"/>
      <c r="X110" s="137"/>
      <c r="Y110" s="139"/>
      <c r="Z110" s="140">
        <v>0</v>
      </c>
      <c r="AA110" s="138"/>
      <c r="AB110" s="136"/>
      <c r="AC110" s="141"/>
      <c r="AD110" s="164">
        <v>1</v>
      </c>
      <c r="AE110" s="209">
        <v>0</v>
      </c>
      <c r="AF110" s="168"/>
      <c r="AG110" s="169"/>
      <c r="AH110" s="169"/>
      <c r="AI110" s="169"/>
      <c r="AJ110" s="169"/>
      <c r="AK110" s="169"/>
      <c r="AL110" s="169"/>
      <c r="AM110" s="169"/>
      <c r="AN110" s="169"/>
      <c r="AO110" s="169" t="str">
        <f>" " &amp; TEXT(AE110,"#0.00%") &amp; " " &amp; "CMS020301 Category list" &amp; " " &amp; IF(P110="","",TEXT(P110,"M/D-")) &amp; IF(Q110="","",TEXT(Q110,"M/D")) &amp; " "</f>
        <v xml:space="preserve"> 0.00% CMS020301 Category list 12/2-12/3 </v>
      </c>
      <c r="AP110" s="169"/>
      <c r="AQ110" s="169"/>
      <c r="AR110" s="169"/>
      <c r="AS110" s="169"/>
    </row>
    <row r="111" spans="1:45" ht="12" customHeight="1" outlineLevel="4">
      <c r="A111" s="135"/>
      <c r="B111" s="135"/>
      <c r="C111" s="135">
        <v>5</v>
      </c>
      <c r="D111" s="165" t="s">
        <v>267</v>
      </c>
      <c r="E111" s="136"/>
      <c r="F111" s="136"/>
      <c r="G111" s="136"/>
      <c r="H111" s="136"/>
      <c r="I111" s="136" t="s">
        <v>268</v>
      </c>
      <c r="J111" s="136"/>
      <c r="K111" s="136"/>
      <c r="L111" s="136"/>
      <c r="M111" s="136"/>
      <c r="N111" s="136"/>
      <c r="O111" s="136"/>
      <c r="P111" s="137">
        <v>45628</v>
      </c>
      <c r="Q111" s="137">
        <v>45629</v>
      </c>
      <c r="R111" s="136"/>
      <c r="S111" s="138">
        <v>2</v>
      </c>
      <c r="T111" s="138">
        <v>2</v>
      </c>
      <c r="U111" s="138">
        <v>2</v>
      </c>
      <c r="V111" s="138">
        <v>2</v>
      </c>
      <c r="W111" s="137"/>
      <c r="X111" s="137"/>
      <c r="Y111" s="139"/>
      <c r="Z111" s="140">
        <v>0</v>
      </c>
      <c r="AA111" s="138"/>
      <c r="AB111" s="136"/>
      <c r="AC111" s="141"/>
      <c r="AD111" s="164">
        <v>1</v>
      </c>
      <c r="AE111" s="209">
        <v>0</v>
      </c>
      <c r="AF111" s="168"/>
      <c r="AG111" s="169"/>
      <c r="AH111" s="169"/>
      <c r="AI111" s="169"/>
      <c r="AJ111" s="169"/>
      <c r="AK111" s="169"/>
      <c r="AL111" s="169"/>
      <c r="AM111" s="169"/>
      <c r="AN111" s="169"/>
      <c r="AO111" s="169" t="str">
        <f>" " &amp; TEXT(AE111,"#0.00%") &amp; " " &amp; "CMS020302 Category CRUD" &amp; " " &amp; IF(P111="","",TEXT(P111,"M/D-")) &amp; IF(Q111="","",TEXT(Q111,"M/D")) &amp; " "</f>
        <v xml:space="preserve"> 0.00% CMS020302 Category CRUD 12/2-12/3 </v>
      </c>
      <c r="AP111" s="169"/>
      <c r="AQ111" s="169"/>
      <c r="AR111" s="169"/>
      <c r="AS111" s="169"/>
    </row>
    <row r="112" spans="1:45" ht="12" customHeight="1" outlineLevel="4">
      <c r="A112" s="135"/>
      <c r="B112" s="135"/>
      <c r="C112" s="135">
        <v>5</v>
      </c>
      <c r="D112" s="165" t="s">
        <v>269</v>
      </c>
      <c r="E112" s="136"/>
      <c r="F112" s="136"/>
      <c r="G112" s="136"/>
      <c r="H112" s="136"/>
      <c r="I112" s="136" t="s">
        <v>270</v>
      </c>
      <c r="J112" s="136"/>
      <c r="K112" s="136"/>
      <c r="L112" s="136"/>
      <c r="M112" s="136"/>
      <c r="N112" s="136"/>
      <c r="O112" s="136"/>
      <c r="P112" s="137">
        <v>45628</v>
      </c>
      <c r="Q112" s="137">
        <v>45632</v>
      </c>
      <c r="R112" s="136"/>
      <c r="S112" s="138">
        <v>5</v>
      </c>
      <c r="T112" s="138">
        <v>5</v>
      </c>
      <c r="U112" s="138">
        <v>5</v>
      </c>
      <c r="V112" s="138">
        <v>5</v>
      </c>
      <c r="W112" s="137"/>
      <c r="X112" s="137"/>
      <c r="Y112" s="139"/>
      <c r="Z112" s="140">
        <v>0</v>
      </c>
      <c r="AA112" s="138"/>
      <c r="AB112" s="136"/>
      <c r="AC112" s="141"/>
      <c r="AD112" s="164">
        <v>1</v>
      </c>
      <c r="AE112" s="209">
        <v>0</v>
      </c>
      <c r="AF112" s="168"/>
      <c r="AG112" s="169"/>
      <c r="AH112" s="169"/>
      <c r="AI112" s="169"/>
      <c r="AJ112" s="169"/>
      <c r="AK112" s="169"/>
      <c r="AL112" s="169"/>
      <c r="AM112" s="169"/>
      <c r="AN112" s="169"/>
      <c r="AO112" s="169" t="str">
        <f>" " &amp; TEXT(AE112,"#0.00%") &amp; " " &amp; "CMS050101 Audit log" &amp; " " &amp; IF(P112="","",TEXT(P112,"M/D-")) &amp; IF(Q112="","",TEXT(Q112,"M/D")) &amp; " "</f>
        <v xml:space="preserve"> 0.00% CMS050101 Audit log 12/2-12/6 </v>
      </c>
      <c r="AP112" s="169"/>
      <c r="AQ112" s="169"/>
      <c r="AR112" s="169"/>
      <c r="AS112" s="169"/>
    </row>
    <row r="113" spans="1:45" ht="12" customHeight="1" outlineLevel="4">
      <c r="A113" s="135"/>
      <c r="B113" s="135"/>
      <c r="C113" s="135">
        <v>5</v>
      </c>
      <c r="D113" s="165" t="s">
        <v>271</v>
      </c>
      <c r="E113" s="136"/>
      <c r="F113" s="136"/>
      <c r="G113" s="136"/>
      <c r="H113" s="136"/>
      <c r="I113" s="136" t="s">
        <v>272</v>
      </c>
      <c r="J113" s="136"/>
      <c r="K113" s="136"/>
      <c r="L113" s="136"/>
      <c r="M113" s="136"/>
      <c r="N113" s="136"/>
      <c r="O113" s="136"/>
      <c r="P113" s="137">
        <v>45631</v>
      </c>
      <c r="Q113" s="137">
        <v>45632</v>
      </c>
      <c r="R113" s="136"/>
      <c r="S113" s="138">
        <v>2</v>
      </c>
      <c r="T113" s="138">
        <v>2</v>
      </c>
      <c r="U113" s="138">
        <v>2</v>
      </c>
      <c r="V113" s="138">
        <v>2</v>
      </c>
      <c r="W113" s="137"/>
      <c r="X113" s="137"/>
      <c r="Y113" s="139"/>
      <c r="Z113" s="140">
        <v>0</v>
      </c>
      <c r="AA113" s="138"/>
      <c r="AB113" s="136"/>
      <c r="AC113" s="141"/>
      <c r="AD113" s="164">
        <v>1</v>
      </c>
      <c r="AE113" s="209">
        <v>0</v>
      </c>
      <c r="AF113" s="168"/>
      <c r="AG113" s="169"/>
      <c r="AH113" s="169"/>
      <c r="AI113" s="169"/>
      <c r="AJ113" s="169"/>
      <c r="AK113" s="169"/>
      <c r="AL113" s="169"/>
      <c r="AM113" s="169"/>
      <c r="AN113" s="169"/>
      <c r="AO113" s="169" t="str">
        <f>"    " &amp; TEXT(AE113,"#0.00%") &amp; " " &amp; "CMS020701 Email template list" &amp; " " &amp; IF(P113="","",TEXT(P113,"M/D-")) &amp; IF(Q113="","",TEXT(Q113,"M/D")) &amp; " "</f>
        <v xml:space="preserve">    0.00% CMS020701 Email template list 12/5-12/6 </v>
      </c>
      <c r="AP113" s="169"/>
      <c r="AQ113" s="169"/>
      <c r="AR113" s="169"/>
      <c r="AS113" s="169"/>
    </row>
    <row r="114" spans="1:45" ht="12" customHeight="1" outlineLevel="4">
      <c r="A114" s="135"/>
      <c r="B114" s="135"/>
      <c r="C114" s="135">
        <v>5</v>
      </c>
      <c r="D114" s="165" t="s">
        <v>273</v>
      </c>
      <c r="E114" s="136"/>
      <c r="F114" s="136"/>
      <c r="G114" s="136"/>
      <c r="H114" s="136"/>
      <c r="I114" s="136" t="s">
        <v>274</v>
      </c>
      <c r="J114" s="136"/>
      <c r="K114" s="136"/>
      <c r="L114" s="136"/>
      <c r="M114" s="136"/>
      <c r="N114" s="136"/>
      <c r="O114" s="136"/>
      <c r="P114" s="137">
        <v>45631</v>
      </c>
      <c r="Q114" s="137">
        <v>45632</v>
      </c>
      <c r="R114" s="136"/>
      <c r="S114" s="138">
        <v>2</v>
      </c>
      <c r="T114" s="138">
        <v>2</v>
      </c>
      <c r="U114" s="138">
        <v>2</v>
      </c>
      <c r="V114" s="138">
        <v>2</v>
      </c>
      <c r="W114" s="137"/>
      <c r="X114" s="137"/>
      <c r="Y114" s="139"/>
      <c r="Z114" s="140">
        <v>0</v>
      </c>
      <c r="AA114" s="138"/>
      <c r="AB114" s="136"/>
      <c r="AC114" s="141"/>
      <c r="AD114" s="164">
        <v>1</v>
      </c>
      <c r="AE114" s="209">
        <v>0</v>
      </c>
      <c r="AF114" s="168"/>
      <c r="AG114" s="169"/>
      <c r="AH114" s="169"/>
      <c r="AI114" s="169"/>
      <c r="AJ114" s="169"/>
      <c r="AK114" s="169"/>
      <c r="AL114" s="169"/>
      <c r="AM114" s="169"/>
      <c r="AN114" s="169"/>
      <c r="AO114" s="169" t="str">
        <f>"    " &amp; TEXT(AE114,"#0.00%") &amp; " " &amp; "CMS020702 Email template CRUD" &amp; " " &amp; IF(P114="","",TEXT(P114,"M/D-")) &amp; IF(Q114="","",TEXT(Q114,"M/D")) &amp; " "</f>
        <v xml:space="preserve">    0.00% CMS020702 Email template CRUD 12/5-12/6 </v>
      </c>
      <c r="AP114" s="169"/>
      <c r="AQ114" s="169"/>
      <c r="AR114" s="169"/>
      <c r="AS114" s="169"/>
    </row>
    <row r="115" spans="1:45" ht="12" customHeight="1" outlineLevel="4">
      <c r="A115" s="135"/>
      <c r="B115" s="135"/>
      <c r="C115" s="135">
        <v>5</v>
      </c>
      <c r="D115" s="165" t="s">
        <v>275</v>
      </c>
      <c r="E115" s="136"/>
      <c r="F115" s="136"/>
      <c r="G115" s="136"/>
      <c r="H115" s="136"/>
      <c r="I115" s="136" t="s">
        <v>276</v>
      </c>
      <c r="J115" s="136"/>
      <c r="K115" s="136"/>
      <c r="L115" s="136"/>
      <c r="M115" s="136"/>
      <c r="N115" s="136"/>
      <c r="O115" s="136"/>
      <c r="P115" s="137">
        <v>45635</v>
      </c>
      <c r="Q115" s="137">
        <v>45636</v>
      </c>
      <c r="R115" s="136"/>
      <c r="S115" s="138">
        <v>2</v>
      </c>
      <c r="T115" s="138">
        <v>2</v>
      </c>
      <c r="U115" s="138">
        <v>2</v>
      </c>
      <c r="V115" s="138">
        <v>2</v>
      </c>
      <c r="W115" s="137"/>
      <c r="X115" s="137"/>
      <c r="Y115" s="139"/>
      <c r="Z115" s="140">
        <v>0</v>
      </c>
      <c r="AA115" s="138"/>
      <c r="AB115" s="136"/>
      <c r="AC115" s="141"/>
      <c r="AD115" s="164">
        <v>1</v>
      </c>
      <c r="AE115" s="209">
        <v>0</v>
      </c>
      <c r="AF115" s="168"/>
      <c r="AG115" s="169"/>
      <c r="AH115" s="169"/>
      <c r="AI115" s="169"/>
      <c r="AJ115" s="169"/>
      <c r="AK115" s="169"/>
      <c r="AL115" s="169"/>
      <c r="AM115" s="169"/>
      <c r="AN115" s="169"/>
      <c r="AO115" s="169"/>
      <c r="AP115" s="169" t="str">
        <f>" " &amp; TEXT(AE115,"#0.00%") &amp; " " &amp; "CMS030101 Dasboard" &amp; " " &amp; IF(P115="","",TEXT(P115,"M/D-")) &amp; IF(Q115="","",TEXT(Q115,"M/D")) &amp; " "</f>
        <v xml:space="preserve"> 0.00% CMS030101 Dasboard 12/9-12/10 </v>
      </c>
      <c r="AQ115" s="169"/>
      <c r="AR115" s="169"/>
      <c r="AS115" s="169"/>
    </row>
    <row r="116" spans="1:45" ht="12" customHeight="1" outlineLevel="4">
      <c r="A116" s="135"/>
      <c r="B116" s="135"/>
      <c r="C116" s="135">
        <v>5</v>
      </c>
      <c r="D116" s="165" t="s">
        <v>277</v>
      </c>
      <c r="E116" s="136"/>
      <c r="F116" s="136"/>
      <c r="G116" s="136"/>
      <c r="H116" s="136"/>
      <c r="I116" s="136" t="s">
        <v>278</v>
      </c>
      <c r="J116" s="136"/>
      <c r="K116" s="136"/>
      <c r="L116" s="136"/>
      <c r="M116" s="136"/>
      <c r="N116" s="136"/>
      <c r="O116" s="136"/>
      <c r="P116" s="137">
        <v>45635</v>
      </c>
      <c r="Q116" s="137">
        <v>45639</v>
      </c>
      <c r="R116" s="136"/>
      <c r="S116" s="138">
        <v>5</v>
      </c>
      <c r="T116" s="138">
        <v>5</v>
      </c>
      <c r="U116" s="138">
        <v>5</v>
      </c>
      <c r="V116" s="138">
        <v>5</v>
      </c>
      <c r="W116" s="137"/>
      <c r="X116" s="137"/>
      <c r="Y116" s="139"/>
      <c r="Z116" s="140">
        <v>0</v>
      </c>
      <c r="AA116" s="138"/>
      <c r="AB116" s="136"/>
      <c r="AC116" s="141"/>
      <c r="AD116" s="164">
        <v>1</v>
      </c>
      <c r="AE116" s="209">
        <v>0</v>
      </c>
      <c r="AF116" s="168"/>
      <c r="AG116" s="169"/>
      <c r="AH116" s="169"/>
      <c r="AI116" s="169"/>
      <c r="AJ116" s="169"/>
      <c r="AK116" s="169"/>
      <c r="AL116" s="169"/>
      <c r="AM116" s="169"/>
      <c r="AN116" s="169"/>
      <c r="AO116" s="169"/>
      <c r="AP116" s="169" t="str">
        <f>" " &amp; TEXT(AE116,"#0.00%") &amp; " " &amp; "CMS020406 Streaming video" &amp; " " &amp; IF(P116="","",TEXT(P116,"M/D-")) &amp; IF(Q116="","",TEXT(Q116,"M/D")) &amp; " "</f>
        <v xml:space="preserve"> 0.00% CMS020406 Streaming video 12/9-12/13 </v>
      </c>
      <c r="AQ116" s="169"/>
      <c r="AR116" s="169"/>
      <c r="AS116" s="169"/>
    </row>
    <row r="117" spans="1:45" s="247" customFormat="1" ht="12" customHeight="1" outlineLevel="3">
      <c r="A117" s="246"/>
      <c r="B117" s="246"/>
      <c r="C117" s="246">
        <v>4</v>
      </c>
      <c r="D117" s="250" t="s">
        <v>279</v>
      </c>
      <c r="E117" s="222"/>
      <c r="F117" s="222"/>
      <c r="G117" s="222"/>
      <c r="H117" s="222" t="s">
        <v>189</v>
      </c>
      <c r="I117" s="222"/>
      <c r="J117" s="222"/>
      <c r="K117" s="222"/>
      <c r="L117" s="216"/>
      <c r="M117" s="216"/>
      <c r="N117" s="216"/>
      <c r="O117" s="216"/>
      <c r="P117" s="218">
        <v>45639</v>
      </c>
      <c r="Q117" s="218">
        <v>45639</v>
      </c>
      <c r="R117" s="216"/>
      <c r="S117" s="232">
        <v>1</v>
      </c>
      <c r="T117" s="232">
        <v>1</v>
      </c>
      <c r="U117" s="232">
        <v>1</v>
      </c>
      <c r="V117" s="232">
        <v>1</v>
      </c>
      <c r="W117" s="218"/>
      <c r="X117" s="218"/>
      <c r="Y117" s="233"/>
      <c r="Z117" s="234">
        <v>0</v>
      </c>
      <c r="AA117" s="232"/>
      <c r="AB117" s="216"/>
      <c r="AC117" s="235"/>
      <c r="AD117" s="251">
        <v>1</v>
      </c>
      <c r="AE117" s="209">
        <v>0</v>
      </c>
      <c r="AF117" s="168"/>
      <c r="AG117" s="169"/>
      <c r="AH117" s="169"/>
      <c r="AI117" s="169"/>
      <c r="AJ117" s="169"/>
      <c r="AK117" s="169"/>
      <c r="AL117" s="169"/>
      <c r="AM117" s="169"/>
      <c r="AN117" s="169"/>
      <c r="AO117" s="169"/>
      <c r="AP117" s="169" t="str">
        <f>"     " &amp; TEXT(AE117,"#0.00%") &amp; " " &amp; "Sprint Review" &amp; " " &amp; IF(P117="","",TEXT(P117,"M/D-")) &amp; IF(Q117="","",TEXT(Q117,"M/D")) &amp; " "</f>
        <v xml:space="preserve">     0.00% Sprint Review 12/13-12/13 </v>
      </c>
      <c r="AQ117" s="169"/>
      <c r="AR117" s="169"/>
      <c r="AS117" s="169"/>
    </row>
    <row r="118" spans="1:45" s="247" customFormat="1" ht="12" customHeight="1" outlineLevel="3">
      <c r="A118" s="246"/>
      <c r="B118" s="246"/>
      <c r="C118" s="246">
        <v>4</v>
      </c>
      <c r="D118" s="250" t="s">
        <v>280</v>
      </c>
      <c r="E118" s="222"/>
      <c r="F118" s="222"/>
      <c r="G118" s="222"/>
      <c r="H118" s="222" t="s">
        <v>191</v>
      </c>
      <c r="I118" s="222"/>
      <c r="J118" s="222"/>
      <c r="K118" s="222"/>
      <c r="L118" s="216"/>
      <c r="M118" s="216"/>
      <c r="N118" s="216"/>
      <c r="O118" s="216"/>
      <c r="P118" s="218">
        <v>45639</v>
      </c>
      <c r="Q118" s="218">
        <v>45639</v>
      </c>
      <c r="R118" s="216"/>
      <c r="S118" s="232">
        <v>1</v>
      </c>
      <c r="T118" s="232">
        <v>1</v>
      </c>
      <c r="U118" s="232">
        <v>1</v>
      </c>
      <c r="V118" s="232">
        <v>1</v>
      </c>
      <c r="W118" s="218"/>
      <c r="X118" s="218"/>
      <c r="Y118" s="233"/>
      <c r="Z118" s="234">
        <v>0</v>
      </c>
      <c r="AA118" s="232"/>
      <c r="AB118" s="216"/>
      <c r="AC118" s="235"/>
      <c r="AD118" s="251">
        <v>1</v>
      </c>
      <c r="AE118" s="209">
        <v>0</v>
      </c>
      <c r="AF118" s="168"/>
      <c r="AG118" s="169"/>
      <c r="AH118" s="169"/>
      <c r="AI118" s="169"/>
      <c r="AJ118" s="169"/>
      <c r="AK118" s="169"/>
      <c r="AL118" s="169"/>
      <c r="AM118" s="169"/>
      <c r="AN118" s="169"/>
      <c r="AO118" s="169"/>
      <c r="AP118" s="169" t="str">
        <f>"     " &amp; TEXT(AE118,"#0.00%") &amp; " " &amp; "Sprint Retrospective" &amp; " " &amp; IF(P118="","",TEXT(P118,"M/D-")) &amp; IF(Q118="","",TEXT(Q118,"M/D")) &amp; " "</f>
        <v xml:space="preserve">     0.00% Sprint Retrospective 12/13-12/13 </v>
      </c>
      <c r="AQ118" s="169"/>
      <c r="AR118" s="169"/>
      <c r="AS118" s="169"/>
    </row>
    <row r="119" spans="1:45" ht="12" customHeight="1" outlineLevel="2">
      <c r="A119" s="135"/>
      <c r="B119" s="135" t="s">
        <v>80</v>
      </c>
      <c r="C119" s="135">
        <v>3</v>
      </c>
      <c r="D119" s="165" t="s">
        <v>281</v>
      </c>
      <c r="E119" s="136"/>
      <c r="F119" s="212"/>
      <c r="G119" s="212" t="s">
        <v>282</v>
      </c>
      <c r="H119" s="212"/>
      <c r="I119" s="212"/>
      <c r="J119" s="212"/>
      <c r="K119" s="212"/>
      <c r="L119" s="136"/>
      <c r="M119" s="136"/>
      <c r="N119" s="136"/>
      <c r="O119" s="136"/>
      <c r="P119" s="137">
        <v>45597</v>
      </c>
      <c r="Q119" s="137">
        <v>45639</v>
      </c>
      <c r="R119" s="136"/>
      <c r="S119" s="138">
        <v>41</v>
      </c>
      <c r="T119" s="138">
        <v>41</v>
      </c>
      <c r="U119" s="138">
        <v>31</v>
      </c>
      <c r="V119" s="138">
        <v>31</v>
      </c>
      <c r="W119" s="137"/>
      <c r="X119" s="137"/>
      <c r="Y119" s="139">
        <v>0</v>
      </c>
      <c r="Z119" s="140">
        <v>0</v>
      </c>
      <c r="AA119" s="138"/>
      <c r="AB119" s="136"/>
      <c r="AC119" s="141"/>
      <c r="AD119" s="164">
        <v>1</v>
      </c>
      <c r="AE119" s="210">
        <v>0</v>
      </c>
      <c r="AF119" s="168"/>
      <c r="AG119" s="169"/>
      <c r="AH119" s="169"/>
      <c r="AI119" s="169"/>
      <c r="AJ119" s="169" t="str">
        <f>"     " &amp; TEXT(AE119,"#0.00%") &amp; " "</f>
        <v xml:space="preserve">     0.00% </v>
      </c>
      <c r="AK119" s="169"/>
      <c r="AL119" s="169"/>
      <c r="AM119" s="169"/>
      <c r="AN119" s="169"/>
      <c r="AO119" s="169"/>
      <c r="AP119" s="169" t="str">
        <f>"      " &amp; "PREPARING FOR INTEGRATION TEST" &amp; " " &amp; IF(P119="","",TEXT(P119,"M/D-")) &amp; IF(Q119="","",TEXT(Q119,"M/D")) &amp; " "</f>
        <v xml:space="preserve">      PREPARING FOR INTEGRATION TEST 11/1-12/13 </v>
      </c>
      <c r="AQ119" s="169"/>
      <c r="AR119" s="169"/>
      <c r="AS119" s="169"/>
    </row>
    <row r="120" spans="1:45" ht="12" customHeight="1" outlineLevel="3">
      <c r="A120" s="135"/>
      <c r="B120" s="135"/>
      <c r="C120" s="135">
        <v>4</v>
      </c>
      <c r="D120" s="250" t="s">
        <v>283</v>
      </c>
      <c r="E120" s="222"/>
      <c r="F120" s="222"/>
      <c r="G120" s="222"/>
      <c r="H120" s="222" t="s">
        <v>284</v>
      </c>
      <c r="I120" s="222"/>
      <c r="J120" s="222"/>
      <c r="K120" s="248"/>
      <c r="L120" s="136"/>
      <c r="M120" s="136"/>
      <c r="N120" s="136"/>
      <c r="O120" s="136"/>
      <c r="P120" s="137">
        <v>45597</v>
      </c>
      <c r="Q120" s="137">
        <v>45639</v>
      </c>
      <c r="R120" s="136"/>
      <c r="S120" s="138">
        <v>31</v>
      </c>
      <c r="T120" s="138">
        <v>31</v>
      </c>
      <c r="U120" s="138">
        <v>31</v>
      </c>
      <c r="V120" s="138">
        <v>31</v>
      </c>
      <c r="W120" s="137"/>
      <c r="X120" s="137"/>
      <c r="Y120" s="139"/>
      <c r="Z120" s="140">
        <v>0</v>
      </c>
      <c r="AA120" s="138"/>
      <c r="AB120" s="136"/>
      <c r="AC120" s="141"/>
      <c r="AD120" s="249">
        <v>1</v>
      </c>
      <c r="AE120" s="209">
        <v>0</v>
      </c>
      <c r="AF120" s="168"/>
      <c r="AG120" s="169"/>
      <c r="AH120" s="169"/>
      <c r="AI120" s="169"/>
      <c r="AJ120" s="169" t="str">
        <f>"     " &amp; TEXT(AE120,"#0.00%") &amp; " "</f>
        <v xml:space="preserve">     0.00% </v>
      </c>
      <c r="AK120" s="169"/>
      <c r="AL120" s="169"/>
      <c r="AM120" s="169"/>
      <c r="AN120" s="169"/>
      <c r="AO120" s="169"/>
      <c r="AP120" s="169" t="str">
        <f>"      " &amp; "Create Integration test scenario" &amp; " " &amp; IF(P120="","",TEXT(P120,"M/D-")) &amp; IF(Q120="","",TEXT(Q120,"M/D")) &amp; " "</f>
        <v xml:space="preserve">      Create Integration test scenario 11/1-12/13 </v>
      </c>
      <c r="AQ120" s="169"/>
      <c r="AR120" s="169"/>
      <c r="AS120" s="169"/>
    </row>
    <row r="121" spans="1:45" ht="12" customHeight="1" outlineLevel="3">
      <c r="A121" s="135"/>
      <c r="B121" s="135"/>
      <c r="C121" s="135">
        <v>4</v>
      </c>
      <c r="D121" s="255" t="s">
        <v>285</v>
      </c>
      <c r="E121" s="219"/>
      <c r="F121" s="219"/>
      <c r="G121" s="219"/>
      <c r="H121" s="219" t="s">
        <v>286</v>
      </c>
      <c r="I121" s="219"/>
      <c r="J121" s="219"/>
      <c r="K121" s="219"/>
      <c r="L121" s="136"/>
      <c r="M121" s="136"/>
      <c r="N121" s="136"/>
      <c r="O121" s="136"/>
      <c r="P121" s="137">
        <v>45628</v>
      </c>
      <c r="Q121" s="137">
        <v>45639</v>
      </c>
      <c r="R121" s="136"/>
      <c r="S121" s="138">
        <v>10</v>
      </c>
      <c r="T121" s="138">
        <v>10</v>
      </c>
      <c r="U121" s="138">
        <v>10</v>
      </c>
      <c r="V121" s="138">
        <v>10</v>
      </c>
      <c r="W121" s="137"/>
      <c r="X121" s="137"/>
      <c r="Y121" s="139"/>
      <c r="Z121" s="140">
        <v>0</v>
      </c>
      <c r="AA121" s="138"/>
      <c r="AB121" s="136"/>
      <c r="AC121" s="141"/>
      <c r="AD121" s="249">
        <v>1</v>
      </c>
      <c r="AE121" s="209">
        <v>0</v>
      </c>
      <c r="AF121" s="168"/>
      <c r="AG121" s="169"/>
      <c r="AH121" s="169"/>
      <c r="AI121" s="169"/>
      <c r="AJ121" s="169"/>
      <c r="AK121" s="169"/>
      <c r="AL121" s="169"/>
      <c r="AM121" s="169"/>
      <c r="AN121" s="169"/>
      <c r="AO121" s="169" t="str">
        <f>" " &amp; TEXT(AE121,"#0.00%") &amp; " " &amp; "Preparing an integrated verification environment" &amp; " " &amp; IF(P121="","",TEXT(P121,"M/D-")) &amp; IF(Q121="","",TEXT(Q121,"M/D")) &amp; " "</f>
        <v xml:space="preserve"> 0.00% Preparing an integrated verification environment 12/2-12/13 </v>
      </c>
      <c r="AP121" s="169"/>
      <c r="AQ121" s="169"/>
      <c r="AR121" s="169"/>
      <c r="AS121" s="169"/>
    </row>
    <row r="122" spans="1:45" ht="12" customHeight="1" outlineLevel="1">
      <c r="A122" s="135"/>
      <c r="B122" s="135" t="s">
        <v>80</v>
      </c>
      <c r="C122" s="135">
        <v>2</v>
      </c>
      <c r="D122" s="165" t="s">
        <v>287</v>
      </c>
      <c r="E122" s="136"/>
      <c r="F122" s="225" t="s">
        <v>288</v>
      </c>
      <c r="G122" s="225"/>
      <c r="H122" s="225"/>
      <c r="I122" s="223"/>
      <c r="J122" s="225"/>
      <c r="K122" s="225"/>
      <c r="L122" s="136"/>
      <c r="M122" s="136"/>
      <c r="N122" s="136"/>
      <c r="O122" s="136"/>
      <c r="P122" s="137">
        <v>45643</v>
      </c>
      <c r="Q122" s="137">
        <v>45646</v>
      </c>
      <c r="R122" s="136"/>
      <c r="S122" s="138">
        <v>8</v>
      </c>
      <c r="T122" s="138">
        <v>8</v>
      </c>
      <c r="U122" s="138">
        <v>4</v>
      </c>
      <c r="V122" s="138">
        <v>4</v>
      </c>
      <c r="W122" s="137"/>
      <c r="X122" s="137"/>
      <c r="Y122" s="139">
        <v>0</v>
      </c>
      <c r="Z122" s="140">
        <v>0</v>
      </c>
      <c r="AA122" s="138"/>
      <c r="AB122" s="136"/>
      <c r="AC122" s="141"/>
      <c r="AD122" s="164">
        <v>1</v>
      </c>
      <c r="AE122" s="210">
        <v>0</v>
      </c>
      <c r="AF122" s="168"/>
      <c r="AG122" s="169"/>
      <c r="AH122" s="169"/>
      <c r="AI122" s="169"/>
      <c r="AJ122" s="169"/>
      <c r="AK122" s="169"/>
      <c r="AL122" s="169"/>
      <c r="AM122" s="169"/>
      <c r="AN122" s="169"/>
      <c r="AO122" s="169"/>
      <c r="AP122" s="169"/>
      <c r="AQ122" s="169" t="str">
        <f>"  " &amp; TEXT(AE122,"#0.00%") &amp; " " &amp; "INTEGRATION TESTING" &amp; " " &amp; IF(P122="","",TEXT(P122,"M/D-")) &amp; IF(Q122="","",TEXT(Q122,"M/D")) &amp; " "</f>
        <v xml:space="preserve">  0.00% INTEGRATION TESTING 12/17-12/20 </v>
      </c>
      <c r="AR122" s="169"/>
      <c r="AS122" s="169"/>
    </row>
    <row r="123" spans="1:45" ht="12" customHeight="1" outlineLevel="2">
      <c r="A123" s="135"/>
      <c r="B123" s="135" t="s">
        <v>80</v>
      </c>
      <c r="C123" s="135">
        <v>3</v>
      </c>
      <c r="D123" s="165" t="s">
        <v>289</v>
      </c>
      <c r="E123" s="136"/>
      <c r="F123" s="225"/>
      <c r="G123" s="225" t="s">
        <v>290</v>
      </c>
      <c r="H123" s="225"/>
      <c r="I123" s="225"/>
      <c r="J123" s="225"/>
      <c r="K123" s="225"/>
      <c r="L123" s="136"/>
      <c r="M123" s="136"/>
      <c r="N123" s="136"/>
      <c r="O123" s="136"/>
      <c r="P123" s="137">
        <v>45643</v>
      </c>
      <c r="Q123" s="137">
        <v>45646</v>
      </c>
      <c r="R123" s="136"/>
      <c r="S123" s="138">
        <v>8</v>
      </c>
      <c r="T123" s="138">
        <v>8</v>
      </c>
      <c r="U123" s="138">
        <v>4</v>
      </c>
      <c r="V123" s="138">
        <v>4</v>
      </c>
      <c r="W123" s="137"/>
      <c r="X123" s="137"/>
      <c r="Y123" s="139">
        <v>0</v>
      </c>
      <c r="Z123" s="140">
        <v>0</v>
      </c>
      <c r="AA123" s="138"/>
      <c r="AB123" s="136"/>
      <c r="AC123" s="141"/>
      <c r="AD123" s="164">
        <v>1</v>
      </c>
      <c r="AE123" s="210">
        <v>0</v>
      </c>
      <c r="AF123" s="168"/>
      <c r="AG123" s="169"/>
      <c r="AH123" s="169"/>
      <c r="AI123" s="169"/>
      <c r="AJ123" s="169"/>
      <c r="AK123" s="169"/>
      <c r="AL123" s="169"/>
      <c r="AM123" s="169"/>
      <c r="AN123" s="169"/>
      <c r="AO123" s="169"/>
      <c r="AP123" s="169"/>
      <c r="AQ123" s="169" t="str">
        <f>"  " &amp; TEXT(AE123,"#0.00%") &amp; " " &amp; "Integration test" &amp; " " &amp; IF(P123="","",TEXT(P123,"M/D-")) &amp; IF(Q123="","",TEXT(Q123,"M/D")) &amp; " "</f>
        <v xml:space="preserve">  0.00% Integration test 12/17-12/20 </v>
      </c>
      <c r="AR123" s="169"/>
      <c r="AS123" s="169"/>
    </row>
    <row r="124" spans="1:45" ht="12" customHeight="1" outlineLevel="3">
      <c r="A124" s="135"/>
      <c r="B124" s="135"/>
      <c r="C124" s="135">
        <v>4</v>
      </c>
      <c r="D124" s="165" t="s">
        <v>291</v>
      </c>
      <c r="E124" s="136"/>
      <c r="F124" s="136"/>
      <c r="G124" s="136"/>
      <c r="H124" s="136" t="s">
        <v>290</v>
      </c>
      <c r="I124" s="136"/>
      <c r="J124" s="136"/>
      <c r="K124" s="136"/>
      <c r="L124" s="136"/>
      <c r="M124" s="136"/>
      <c r="N124" s="136"/>
      <c r="O124" s="136"/>
      <c r="P124" s="137">
        <v>45643</v>
      </c>
      <c r="Q124" s="137">
        <v>45646</v>
      </c>
      <c r="R124" s="136"/>
      <c r="S124" s="138">
        <v>4</v>
      </c>
      <c r="T124" s="138">
        <v>4</v>
      </c>
      <c r="U124" s="138">
        <v>4</v>
      </c>
      <c r="V124" s="138">
        <v>4</v>
      </c>
      <c r="W124" s="137"/>
      <c r="X124" s="137"/>
      <c r="Y124" s="139"/>
      <c r="Z124" s="140">
        <v>0</v>
      </c>
      <c r="AA124" s="138"/>
      <c r="AB124" s="136"/>
      <c r="AC124" s="141"/>
      <c r="AD124" s="164">
        <v>1</v>
      </c>
      <c r="AE124" s="209">
        <v>0</v>
      </c>
      <c r="AF124" s="168"/>
      <c r="AG124" s="169"/>
      <c r="AH124" s="169"/>
      <c r="AI124" s="169"/>
      <c r="AJ124" s="169"/>
      <c r="AK124" s="169"/>
      <c r="AL124" s="169"/>
      <c r="AM124" s="169"/>
      <c r="AN124" s="169"/>
      <c r="AO124" s="169"/>
      <c r="AP124" s="169"/>
      <c r="AQ124" s="169" t="str">
        <f>"  " &amp; TEXT(AE124,"#0.00%") &amp; " " &amp; "Integration test" &amp; " " &amp; IF(P124="","",TEXT(P124,"M/D-")) &amp; IF(Q124="","",TEXT(Q124,"M/D")) &amp; " "</f>
        <v xml:space="preserve">  0.00% Integration test 12/17-12/20 </v>
      </c>
      <c r="AR124" s="169"/>
      <c r="AS124" s="169"/>
    </row>
    <row r="125" spans="1:45" ht="12" customHeight="1" outlineLevel="3">
      <c r="A125" s="135"/>
      <c r="B125" s="135"/>
      <c r="C125" s="135">
        <v>4</v>
      </c>
      <c r="D125" s="165" t="s">
        <v>292</v>
      </c>
      <c r="E125" s="136"/>
      <c r="F125" s="136"/>
      <c r="G125" s="136"/>
      <c r="H125" s="136" t="s">
        <v>293</v>
      </c>
      <c r="I125" s="136"/>
      <c r="J125" s="136"/>
      <c r="K125" s="136"/>
      <c r="L125" s="136"/>
      <c r="M125" s="136"/>
      <c r="N125" s="136"/>
      <c r="O125" s="136"/>
      <c r="P125" s="137">
        <v>45643</v>
      </c>
      <c r="Q125" s="137">
        <v>45646</v>
      </c>
      <c r="R125" s="136"/>
      <c r="S125" s="138">
        <v>4</v>
      </c>
      <c r="T125" s="138">
        <v>4</v>
      </c>
      <c r="U125" s="138">
        <v>4</v>
      </c>
      <c r="V125" s="138">
        <v>4</v>
      </c>
      <c r="W125" s="137"/>
      <c r="X125" s="137"/>
      <c r="Y125" s="139"/>
      <c r="Z125" s="140">
        <v>0</v>
      </c>
      <c r="AA125" s="138"/>
      <c r="AB125" s="136"/>
      <c r="AC125" s="141"/>
      <c r="AD125" s="164">
        <v>1</v>
      </c>
      <c r="AE125" s="209">
        <v>0</v>
      </c>
      <c r="AF125" s="168"/>
      <c r="AG125" s="169"/>
      <c r="AH125" s="169"/>
      <c r="AI125" s="169"/>
      <c r="AJ125" s="169"/>
      <c r="AK125" s="169"/>
      <c r="AL125" s="169"/>
      <c r="AM125" s="169"/>
      <c r="AN125" s="169"/>
      <c r="AO125" s="169"/>
      <c r="AP125" s="169"/>
      <c r="AQ125" s="169" t="str">
        <f>"  " &amp; TEXT(AE125,"#0.00%") &amp; " " &amp; "Reflect feedback after intergration test" &amp; " " &amp; IF(P125="","",TEXT(P125,"M/D-")) &amp; IF(Q125="","",TEXT(Q125,"M/D")) &amp; " "</f>
        <v xml:space="preserve">  0.00% Reflect feedback after intergration test 12/17-12/20 </v>
      </c>
      <c r="AR125" s="169"/>
      <c r="AS125" s="169"/>
    </row>
    <row r="126" spans="1:45" ht="12" customHeight="1" outlineLevel="1">
      <c r="A126" s="135"/>
      <c r="B126" s="135" t="s">
        <v>80</v>
      </c>
      <c r="C126" s="135">
        <v>2</v>
      </c>
      <c r="D126" s="165" t="s">
        <v>294</v>
      </c>
      <c r="E126" s="136"/>
      <c r="F126" s="225" t="s">
        <v>295</v>
      </c>
      <c r="G126" s="225"/>
      <c r="H126" s="225"/>
      <c r="I126" s="223"/>
      <c r="J126" s="225"/>
      <c r="K126" s="225"/>
      <c r="L126" s="136"/>
      <c r="M126" s="136"/>
      <c r="N126" s="136"/>
      <c r="O126" s="136"/>
      <c r="P126" s="137">
        <v>45649</v>
      </c>
      <c r="Q126" s="137">
        <v>45653</v>
      </c>
      <c r="R126" s="136"/>
      <c r="S126" s="138">
        <v>16</v>
      </c>
      <c r="T126" s="138">
        <v>4</v>
      </c>
      <c r="U126" s="138">
        <v>5</v>
      </c>
      <c r="V126" s="138">
        <v>1</v>
      </c>
      <c r="W126" s="137"/>
      <c r="X126" s="137"/>
      <c r="Y126" s="139">
        <v>0</v>
      </c>
      <c r="Z126" s="140">
        <v>0</v>
      </c>
      <c r="AA126" s="138"/>
      <c r="AB126" s="136"/>
      <c r="AC126" s="141"/>
      <c r="AD126" s="164">
        <v>0.25</v>
      </c>
      <c r="AE126" s="210">
        <v>0</v>
      </c>
      <c r="AF126" s="168"/>
      <c r="AG126" s="169"/>
      <c r="AH126" s="169"/>
      <c r="AI126" s="169"/>
      <c r="AJ126" s="169"/>
      <c r="AK126" s="169"/>
      <c r="AL126" s="169"/>
      <c r="AM126" s="169"/>
      <c r="AN126" s="169"/>
      <c r="AO126" s="169"/>
      <c r="AP126" s="169"/>
      <c r="AQ126" s="169"/>
      <c r="AR126" s="169" t="str">
        <f>" " &amp; TEXT(AE126,"#0.00%") &amp; " " &amp; "DELIVERY" &amp; " " &amp; IF(P126="","",TEXT(P126,"M/D-")) &amp; IF(Q126="","",TEXT(Q126,"M/D")) &amp; " "</f>
        <v xml:space="preserve"> 0.00% DELIVERY 12/23-12/27 </v>
      </c>
      <c r="AS126" s="169"/>
    </row>
    <row r="127" spans="1:45" ht="12" customHeight="1" outlineLevel="2">
      <c r="A127" s="135"/>
      <c r="B127" s="135" t="s">
        <v>80</v>
      </c>
      <c r="C127" s="135">
        <v>3</v>
      </c>
      <c r="D127" s="165" t="s">
        <v>296</v>
      </c>
      <c r="E127" s="136"/>
      <c r="F127" s="225"/>
      <c r="G127" s="225" t="s">
        <v>297</v>
      </c>
      <c r="H127" s="225"/>
      <c r="I127" s="225"/>
      <c r="J127" s="225"/>
      <c r="K127" s="225"/>
      <c r="L127" s="136"/>
      <c r="M127" s="136"/>
      <c r="N127" s="136"/>
      <c r="O127" s="136"/>
      <c r="P127" s="137">
        <v>45649</v>
      </c>
      <c r="Q127" s="137">
        <v>45653</v>
      </c>
      <c r="R127" s="136"/>
      <c r="S127" s="138">
        <v>16</v>
      </c>
      <c r="T127" s="138">
        <v>4</v>
      </c>
      <c r="U127" s="138">
        <v>5</v>
      </c>
      <c r="V127" s="138">
        <v>1</v>
      </c>
      <c r="W127" s="137"/>
      <c r="X127" s="137"/>
      <c r="Y127" s="139">
        <v>0</v>
      </c>
      <c r="Z127" s="140">
        <v>0</v>
      </c>
      <c r="AA127" s="138"/>
      <c r="AB127" s="136"/>
      <c r="AC127" s="141"/>
      <c r="AD127" s="164">
        <v>0.25</v>
      </c>
      <c r="AE127" s="210">
        <v>0</v>
      </c>
      <c r="AF127" s="168"/>
      <c r="AG127" s="169"/>
      <c r="AH127" s="169"/>
      <c r="AI127" s="169"/>
      <c r="AJ127" s="169"/>
      <c r="AK127" s="169"/>
      <c r="AL127" s="169"/>
      <c r="AM127" s="169"/>
      <c r="AN127" s="169"/>
      <c r="AO127" s="169"/>
      <c r="AP127" s="169"/>
      <c r="AQ127" s="169"/>
      <c r="AR127" s="169" t="str">
        <f>" " &amp; TEXT(AE127,"#0.00%") &amp; " " &amp; "Delivery" &amp; " " &amp; IF(P127="","",TEXT(P127,"M/D-")) &amp; IF(Q127="","",TEXT(Q127,"M/D")) &amp; " "</f>
        <v xml:space="preserve"> 0.00% Delivery 12/23-12/27 </v>
      </c>
      <c r="AS127" s="169"/>
    </row>
    <row r="128" spans="1:45" ht="12" customHeight="1" outlineLevel="3">
      <c r="A128" s="135"/>
      <c r="B128" s="135"/>
      <c r="C128" s="135">
        <v>4</v>
      </c>
      <c r="D128" s="245" t="s">
        <v>298</v>
      </c>
      <c r="E128" s="243"/>
      <c r="F128" s="243"/>
      <c r="G128" s="243"/>
      <c r="H128" s="216" t="s">
        <v>299</v>
      </c>
      <c r="I128" s="243"/>
      <c r="J128" s="243"/>
      <c r="K128" s="243"/>
      <c r="L128" s="136"/>
      <c r="M128" s="136"/>
      <c r="N128" s="136"/>
      <c r="O128" s="136"/>
      <c r="P128" s="137">
        <v>45649</v>
      </c>
      <c r="Q128" s="137">
        <v>45649</v>
      </c>
      <c r="R128" s="136"/>
      <c r="S128" s="138">
        <v>1</v>
      </c>
      <c r="T128" s="138">
        <v>1</v>
      </c>
      <c r="U128" s="138">
        <v>1</v>
      </c>
      <c r="V128" s="138">
        <v>1</v>
      </c>
      <c r="W128" s="137"/>
      <c r="X128" s="137"/>
      <c r="Y128" s="139"/>
      <c r="Z128" s="140">
        <v>0</v>
      </c>
      <c r="AA128" s="138"/>
      <c r="AB128" s="136"/>
      <c r="AC128" s="141"/>
      <c r="AD128" s="249">
        <v>1</v>
      </c>
      <c r="AE128" s="209">
        <v>0</v>
      </c>
      <c r="AF128" s="168"/>
      <c r="AG128" s="169"/>
      <c r="AH128" s="169"/>
      <c r="AI128" s="169"/>
      <c r="AJ128" s="169"/>
      <c r="AK128" s="169"/>
      <c r="AL128" s="169"/>
      <c r="AM128" s="169"/>
      <c r="AN128" s="169"/>
      <c r="AO128" s="169"/>
      <c r="AP128" s="169"/>
      <c r="AQ128" s="169"/>
      <c r="AR128" s="169" t="str">
        <f>" " &amp; TEXT(AE128,"#0.00%") &amp; " " &amp; "Go-live" &amp; " " &amp; IF(P128="","",TEXT(P128,"M/D-")) &amp; IF(Q128="","",TEXT(Q128,"M/D")) &amp; " "</f>
        <v xml:space="preserve"> 0.00% Go-live 12/23-12/23 </v>
      </c>
      <c r="AS128" s="169"/>
    </row>
    <row r="129" spans="1:45" ht="12" customHeight="1" outlineLevel="3">
      <c r="A129" s="135"/>
      <c r="B129" s="135"/>
      <c r="C129" s="135">
        <v>4</v>
      </c>
      <c r="D129" s="245" t="s">
        <v>300</v>
      </c>
      <c r="E129" s="243"/>
      <c r="F129" s="243"/>
      <c r="G129" s="243"/>
      <c r="H129" s="216" t="s">
        <v>301</v>
      </c>
      <c r="I129" s="243"/>
      <c r="J129" s="243"/>
      <c r="K129" s="243"/>
      <c r="L129" s="136"/>
      <c r="M129" s="136"/>
      <c r="N129" s="136"/>
      <c r="O129" s="136"/>
      <c r="P129" s="137">
        <v>45649</v>
      </c>
      <c r="Q129" s="137">
        <v>45653</v>
      </c>
      <c r="R129" s="136"/>
      <c r="S129" s="138">
        <v>5</v>
      </c>
      <c r="T129" s="138">
        <v>1</v>
      </c>
      <c r="U129" s="138">
        <v>5</v>
      </c>
      <c r="V129" s="138">
        <v>1</v>
      </c>
      <c r="W129" s="137"/>
      <c r="X129" s="137"/>
      <c r="Y129" s="139"/>
      <c r="Z129" s="140">
        <v>0</v>
      </c>
      <c r="AA129" s="138"/>
      <c r="AB129" s="136"/>
      <c r="AC129" s="141"/>
      <c r="AD129" s="249">
        <v>0.2</v>
      </c>
      <c r="AE129" s="209">
        <v>0</v>
      </c>
      <c r="AF129" s="168"/>
      <c r="AG129" s="169"/>
      <c r="AH129" s="169"/>
      <c r="AI129" s="169"/>
      <c r="AJ129" s="169"/>
      <c r="AK129" s="169"/>
      <c r="AL129" s="169"/>
      <c r="AM129" s="169"/>
      <c r="AN129" s="169"/>
      <c r="AO129" s="169"/>
      <c r="AP129" s="169"/>
      <c r="AQ129" s="169"/>
      <c r="AR129" s="169" t="str">
        <f>" " &amp; TEXT(AE129,"#0.00%") &amp; " " &amp; "Stability monitoring" &amp; " " &amp; IF(P129="","",TEXT(P129,"M/D-")) &amp; IF(Q129="","",TEXT(Q129,"M/D")) &amp; " "</f>
        <v xml:space="preserve"> 0.00% Stability monitoring 12/23-12/27 </v>
      </c>
      <c r="AS129" s="169"/>
    </row>
    <row r="130" spans="1:45" ht="12" customHeight="1" outlineLevel="3">
      <c r="A130" s="135"/>
      <c r="B130" s="135"/>
      <c r="C130" s="135">
        <v>4</v>
      </c>
      <c r="D130" s="165" t="s">
        <v>302</v>
      </c>
      <c r="E130" s="136"/>
      <c r="F130" s="136"/>
      <c r="G130" s="136"/>
      <c r="H130" s="136" t="s">
        <v>303</v>
      </c>
      <c r="I130" s="136"/>
      <c r="J130" s="136"/>
      <c r="K130" s="136"/>
      <c r="L130" s="136"/>
      <c r="M130" s="136"/>
      <c r="N130" s="136"/>
      <c r="O130" s="136"/>
      <c r="P130" s="137">
        <v>45649</v>
      </c>
      <c r="Q130" s="137">
        <v>45653</v>
      </c>
      <c r="R130" s="136"/>
      <c r="S130" s="138">
        <v>5</v>
      </c>
      <c r="T130" s="138">
        <v>1</v>
      </c>
      <c r="U130" s="138">
        <v>5</v>
      </c>
      <c r="V130" s="138">
        <v>1</v>
      </c>
      <c r="W130" s="137"/>
      <c r="X130" s="137"/>
      <c r="Y130" s="139"/>
      <c r="Z130" s="140">
        <v>0</v>
      </c>
      <c r="AA130" s="138"/>
      <c r="AB130" s="136"/>
      <c r="AC130" s="141"/>
      <c r="AD130" s="164">
        <v>0.2</v>
      </c>
      <c r="AE130" s="209">
        <v>0</v>
      </c>
      <c r="AF130" s="168"/>
      <c r="AG130" s="169"/>
      <c r="AH130" s="169"/>
      <c r="AI130" s="169"/>
      <c r="AJ130" s="169"/>
      <c r="AK130" s="169"/>
      <c r="AL130" s="169"/>
      <c r="AM130" s="169"/>
      <c r="AN130" s="169"/>
      <c r="AO130" s="169"/>
      <c r="AP130" s="169"/>
      <c r="AQ130" s="169"/>
      <c r="AR130" s="169" t="str">
        <f>" " &amp; TEXT(AE130,"#0.00%") &amp; " " &amp; "Documentation" &amp; " " &amp; IF(P130="","",TEXT(P130,"M/D-")) &amp; IF(Q130="","",TEXT(Q130,"M/D")) &amp; " "</f>
        <v xml:space="preserve"> 0.00% Documentation 12/23-12/27 </v>
      </c>
      <c r="AS130" s="169"/>
    </row>
    <row r="131" spans="1:45" ht="12" customHeight="1" outlineLevel="3">
      <c r="A131" s="135"/>
      <c r="B131" s="135"/>
      <c r="C131" s="135">
        <v>4</v>
      </c>
      <c r="D131" s="165" t="s">
        <v>304</v>
      </c>
      <c r="E131" s="136"/>
      <c r="F131" s="136"/>
      <c r="G131" s="136"/>
      <c r="H131" s="136" t="s">
        <v>305</v>
      </c>
      <c r="I131" s="136"/>
      <c r="J131" s="136"/>
      <c r="K131" s="136"/>
      <c r="L131" s="136"/>
      <c r="M131" s="136"/>
      <c r="N131" s="136"/>
      <c r="O131" s="136"/>
      <c r="P131" s="137">
        <v>45649</v>
      </c>
      <c r="Q131" s="137">
        <v>45653</v>
      </c>
      <c r="R131" s="136"/>
      <c r="S131" s="138">
        <v>5</v>
      </c>
      <c r="T131" s="138">
        <v>1</v>
      </c>
      <c r="U131" s="138">
        <v>5</v>
      </c>
      <c r="V131" s="138">
        <v>1</v>
      </c>
      <c r="W131" s="137"/>
      <c r="X131" s="137"/>
      <c r="Y131" s="139"/>
      <c r="Z131" s="140">
        <v>0</v>
      </c>
      <c r="AA131" s="138"/>
      <c r="AB131" s="136"/>
      <c r="AC131" s="141"/>
      <c r="AD131" s="164">
        <v>0.2</v>
      </c>
      <c r="AE131" s="209">
        <v>0</v>
      </c>
      <c r="AF131" s="168"/>
      <c r="AG131" s="169"/>
      <c r="AH131" s="169"/>
      <c r="AI131" s="169"/>
      <c r="AJ131" s="169"/>
      <c r="AK131" s="169"/>
      <c r="AL131" s="169"/>
      <c r="AM131" s="169"/>
      <c r="AN131" s="169"/>
      <c r="AO131" s="169"/>
      <c r="AP131" s="169"/>
      <c r="AQ131" s="169"/>
      <c r="AR131" s="169" t="str">
        <f>" " &amp; TEXT(AE131,"#0.00%") &amp; " " &amp; "Completion report" &amp; " " &amp; IF(P131="","",TEXT(P131,"M/D-")) &amp; IF(Q131="","",TEXT(Q131,"M/D")) &amp; " "</f>
        <v xml:space="preserve"> 0.00% Completion report 12/23-12/27 </v>
      </c>
      <c r="AS131" s="169"/>
    </row>
    <row r="132" spans="1:45" ht="12" customHeight="1">
      <c r="A132" s="154"/>
      <c r="B132" s="154"/>
      <c r="C132" s="154"/>
      <c r="D132" s="155"/>
      <c r="E132" s="156"/>
      <c r="F132" s="156"/>
      <c r="G132" s="156"/>
      <c r="H132" s="156"/>
      <c r="I132" s="156"/>
      <c r="J132" s="156"/>
      <c r="K132" s="156"/>
      <c r="L132" s="156"/>
      <c r="M132" s="156"/>
      <c r="N132" s="156"/>
      <c r="O132" s="156"/>
      <c r="P132" s="157"/>
      <c r="Q132" s="157"/>
      <c r="R132" s="156"/>
      <c r="S132" s="158"/>
      <c r="T132" s="158"/>
      <c r="U132" s="158"/>
      <c r="V132" s="158"/>
      <c r="W132" s="157"/>
      <c r="X132" s="157"/>
      <c r="Y132" s="159"/>
      <c r="Z132" s="160"/>
      <c r="AA132" s="158"/>
      <c r="AB132" s="156"/>
      <c r="AC132" s="161"/>
      <c r="AD132" s="162"/>
      <c r="AE132" s="163"/>
      <c r="AF132" s="167"/>
      <c r="AG132" s="167"/>
      <c r="AH132" s="167"/>
      <c r="AI132" s="167"/>
      <c r="AJ132" s="167"/>
      <c r="AK132" s="167"/>
      <c r="AL132" s="167"/>
      <c r="AM132" s="167"/>
      <c r="AN132" s="167"/>
      <c r="AO132" s="167"/>
      <c r="AP132" s="167"/>
      <c r="AQ132" s="167"/>
      <c r="AR132" s="167"/>
      <c r="AS132" s="167"/>
    </row>
  </sheetData>
  <sheetProtection formatCells="0" formatColumns="0" formatRows="0" insertColumns="0" insertRows="0" insertHyperlinks="0" deleteColumns="0" deleteRows="0" sort="0" autoFilter="0" pivotTables="0"/>
  <dataConsolidate/>
  <mergeCells count="32">
    <mergeCell ref="AR3:AU3"/>
    <mergeCell ref="AR2:AU2"/>
    <mergeCell ref="AF3:AI3"/>
    <mergeCell ref="AF2:AI2"/>
    <mergeCell ref="AJ3:AM3"/>
    <mergeCell ref="AJ2:AM2"/>
    <mergeCell ref="AN3:AQ3"/>
    <mergeCell ref="AN2:AQ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O44:O46"/>
    <mergeCell ref="AC3:AC4"/>
    <mergeCell ref="AD3:AD4"/>
    <mergeCell ref="A3:A4"/>
    <mergeCell ref="B3:B4"/>
    <mergeCell ref="C3:C4"/>
    <mergeCell ref="D3:D4"/>
    <mergeCell ref="E3:N4"/>
  </mergeCells>
  <phoneticPr fontId="1" type="noConversion"/>
  <conditionalFormatting sqref="D5:AD131">
    <cfRule type="expression" dxfId="0" priority="1">
      <formula>($B5="G")</formula>
    </cfRule>
  </conditionalFormatting>
  <hyperlinks>
    <hyperlink ref="O44:O46" r:id="rId1" display="https://wire.lgcns.com/confluence/pages/viewpage.action?pageId=1026129949"/>
    <hyperlink ref="O40" r:id="rId2"/>
    <hyperlink ref="O37" r:id="rId3"/>
    <hyperlink ref="AF1:BJ1" r:id="rId4" display="https://xlworks.io/xlgantt-project-scheduler/"/>
  </hyperlinks>
  <pageMargins left="0.19685039370078741" right="0.23622047244094491" top="0.43307086614173229" bottom="0.23622047244094491" header="0.23622047244094491" footer="0.19685039370078741"/>
  <pageSetup paperSize="9" scale="34" orientation="landscape" r:id="rId5"/>
  <headerFooter alignWithMargins="0">
    <oddFooter>&amp;L&amp;"-,보통"&amp;9XLGantt ©http://xlworks.net&amp;C&amp;"-,보통"&amp;9&amp;P/&amp;N</oddFooter>
  </headerFooter>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44140625" style="57" customWidth="1"/>
    <col min="2" max="2" width="13.33203125" style="55" customWidth="1"/>
    <col min="3" max="3" width="9.88671875" style="59" customWidth="1"/>
    <col min="4" max="4" width="31.44140625" style="59" customWidth="1"/>
    <col min="5" max="6" width="14.109375" style="59" customWidth="1"/>
    <col min="7" max="7" width="28.44140625" style="59" customWidth="1"/>
    <col min="8" max="9" width="10" style="59"/>
    <col min="10" max="10" width="8.88671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306</v>
      </c>
      <c r="B1" s="2"/>
      <c r="C1" s="2"/>
      <c r="D1" s="2"/>
      <c r="E1" s="2"/>
      <c r="F1" s="2"/>
      <c r="G1" s="2"/>
      <c r="H1" s="2"/>
      <c r="I1" s="2"/>
      <c r="J1" s="2"/>
      <c r="K1" s="2"/>
      <c r="L1" s="321"/>
      <c r="M1" s="322"/>
      <c r="N1" s="322"/>
      <c r="O1" s="3"/>
      <c r="P1" s="3"/>
      <c r="Q1" s="3"/>
    </row>
    <row r="2" spans="1:17" s="7" customFormat="1" ht="13.8">
      <c r="A2" s="5" t="s">
        <v>307</v>
      </c>
      <c r="B2" s="6"/>
    </row>
    <row r="3" spans="1:17" s="7" customFormat="1" ht="13.8">
      <c r="A3" s="5" t="s">
        <v>308</v>
      </c>
      <c r="B3" s="6"/>
    </row>
    <row r="4" spans="1:17" s="7" customFormat="1" ht="13.8">
      <c r="A4" s="323"/>
      <c r="B4" s="323"/>
      <c r="C4" s="8"/>
      <c r="D4" s="9"/>
      <c r="E4" s="9"/>
      <c r="F4" s="9"/>
    </row>
    <row r="5" spans="1:17" s="15" customFormat="1" ht="13.8">
      <c r="A5" s="10"/>
      <c r="B5" s="11"/>
      <c r="C5" s="12"/>
      <c r="D5" s="13"/>
      <c r="E5" s="14"/>
      <c r="F5" s="14"/>
      <c r="G5" s="14"/>
    </row>
    <row r="6" spans="1:17" s="15" customFormat="1" ht="13.8">
      <c r="A6" s="16" t="s">
        <v>309</v>
      </c>
      <c r="B6" s="17">
        <v>306</v>
      </c>
      <c r="C6" s="15" t="s">
        <v>310</v>
      </c>
      <c r="D6" s="320" t="s">
        <v>311</v>
      </c>
      <c r="E6" s="320"/>
      <c r="F6" s="320"/>
      <c r="G6" s="320"/>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312</v>
      </c>
      <c r="B9" s="17">
        <v>294</v>
      </c>
      <c r="C9" s="15" t="s">
        <v>310</v>
      </c>
      <c r="D9" s="319" t="s">
        <v>313</v>
      </c>
      <c r="E9" s="319"/>
      <c r="F9" s="319"/>
      <c r="G9" s="319"/>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314</v>
      </c>
      <c r="B12" s="17">
        <v>30</v>
      </c>
      <c r="C12" s="15" t="s">
        <v>310</v>
      </c>
      <c r="D12" s="324" t="s">
        <v>315</v>
      </c>
      <c r="E12" s="319"/>
      <c r="F12" s="319"/>
      <c r="G12" s="319"/>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316</v>
      </c>
      <c r="B15" s="17"/>
      <c r="C15" s="15" t="s">
        <v>310</v>
      </c>
      <c r="D15" s="319" t="s">
        <v>317</v>
      </c>
      <c r="E15" s="319"/>
      <c r="F15" s="319"/>
      <c r="G15" s="319"/>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318</v>
      </c>
      <c r="B18" s="39">
        <v>0.96078431372549022</v>
      </c>
      <c r="D18" s="319" t="s">
        <v>319</v>
      </c>
      <c r="E18" s="319"/>
      <c r="F18" s="319"/>
      <c r="G18" s="319"/>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320</v>
      </c>
      <c r="B21" s="39">
        <v>9.8039215686274508E-2</v>
      </c>
      <c r="D21" s="319" t="s">
        <v>321</v>
      </c>
      <c r="E21" s="319"/>
      <c r="F21" s="319"/>
      <c r="G21" s="319"/>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322</v>
      </c>
      <c r="B24" s="49">
        <f>ACTUAL_RATE-PLANNED_RATE</f>
        <v>-0.86274509803921573</v>
      </c>
      <c r="D24" s="320" t="s">
        <v>323</v>
      </c>
      <c r="E24" s="320"/>
      <c r="F24" s="320"/>
      <c r="G24" s="320"/>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18"/>
  <sheetViews>
    <sheetView showGridLines="0" zoomScale="80" zoomScaleNormal="80" workbookViewId="0">
      <pane ySplit="1" topLeftCell="A2" activePane="bottomLeft" state="frozen"/>
      <selection pane="bottomLeft"/>
    </sheetView>
  </sheetViews>
  <sheetFormatPr defaultColWidth="9.109375" defaultRowHeight="14.4"/>
  <cols>
    <col min="1" max="1" width="1.5546875" style="73" customWidth="1"/>
    <col min="2" max="3" width="10.5546875" style="73" bestFit="1" customWidth="1"/>
    <col min="4" max="4" width="9.109375" style="73"/>
    <col min="5" max="5" width="10.5546875" style="73" customWidth="1"/>
    <col min="6" max="6" width="9.109375" style="198"/>
    <col min="7" max="16384" width="9.109375" style="73"/>
  </cols>
  <sheetData>
    <row r="1" spans="2:12" ht="36.9" customHeight="1">
      <c r="B1" s="1" t="s">
        <v>324</v>
      </c>
    </row>
    <row r="2" spans="2:12">
      <c r="B2" s="73" t="s">
        <v>325</v>
      </c>
    </row>
    <row r="3" spans="2:12">
      <c r="B3" s="73" t="s">
        <v>326</v>
      </c>
    </row>
    <row r="6" spans="2:12" ht="72">
      <c r="B6" s="62" t="s">
        <v>327</v>
      </c>
      <c r="C6" s="72" t="s">
        <v>328</v>
      </c>
      <c r="D6" s="72" t="s">
        <v>329</v>
      </c>
      <c r="E6" s="72" t="s">
        <v>330</v>
      </c>
      <c r="F6" s="199" t="s">
        <v>331</v>
      </c>
      <c r="G6" s="72" t="s">
        <v>332</v>
      </c>
      <c r="H6" s="72" t="s">
        <v>333</v>
      </c>
      <c r="I6" s="72" t="s">
        <v>334</v>
      </c>
      <c r="J6" s="72" t="s">
        <v>335</v>
      </c>
      <c r="K6" s="72" t="s">
        <v>336</v>
      </c>
      <c r="L6" s="200" t="s">
        <v>337</v>
      </c>
    </row>
    <row r="7" spans="2:12">
      <c r="B7" s="201">
        <v>44709</v>
      </c>
      <c r="C7" s="201">
        <v>44709</v>
      </c>
      <c r="D7" s="194">
        <v>0</v>
      </c>
      <c r="E7" s="194">
        <f>D7</f>
        <v>0</v>
      </c>
      <c r="F7" s="202">
        <f t="shared" ref="F7:F17" si="0">E7/$D$18</f>
        <v>0</v>
      </c>
      <c r="G7" s="194">
        <v>0</v>
      </c>
      <c r="H7" s="194">
        <f>G7</f>
        <v>0</v>
      </c>
      <c r="I7" s="202">
        <f t="shared" ref="I7:I9" si="1">H7/$D$18</f>
        <v>0</v>
      </c>
      <c r="J7" s="194"/>
      <c r="K7" s="194">
        <f>J7</f>
        <v>0</v>
      </c>
      <c r="L7" s="202">
        <f t="shared" ref="L7:L9" si="2">K7/$D$18</f>
        <v>0</v>
      </c>
    </row>
    <row r="8" spans="2:12">
      <c r="B8" s="203">
        <v>44710</v>
      </c>
      <c r="C8" s="203">
        <v>44716</v>
      </c>
      <c r="D8" s="195">
        <v>4.2</v>
      </c>
      <c r="E8" s="195">
        <f t="shared" ref="E8:E17" si="3">E7+D8</f>
        <v>4.2</v>
      </c>
      <c r="F8" s="204">
        <f t="shared" si="0"/>
        <v>9.7674418604651161E-2</v>
      </c>
      <c r="G8" s="195">
        <v>0</v>
      </c>
      <c r="H8" s="195">
        <f>H7+G8</f>
        <v>0</v>
      </c>
      <c r="I8" s="204">
        <f t="shared" si="1"/>
        <v>0</v>
      </c>
      <c r="J8" s="195"/>
      <c r="K8" s="195">
        <f>K7+J8</f>
        <v>0</v>
      </c>
      <c r="L8" s="204">
        <f t="shared" si="2"/>
        <v>0</v>
      </c>
    </row>
    <row r="9" spans="2:12">
      <c r="B9" s="203">
        <v>44717</v>
      </c>
      <c r="C9" s="203">
        <v>44723</v>
      </c>
      <c r="D9" s="195">
        <v>3</v>
      </c>
      <c r="E9" s="195">
        <f t="shared" si="3"/>
        <v>7.2</v>
      </c>
      <c r="F9" s="204">
        <f t="shared" si="0"/>
        <v>0.16744186046511628</v>
      </c>
      <c r="G9" s="195">
        <v>0</v>
      </c>
      <c r="H9" s="195">
        <f>H8+G9</f>
        <v>0</v>
      </c>
      <c r="I9" s="204">
        <f t="shared" si="1"/>
        <v>0</v>
      </c>
      <c r="J9" s="195"/>
      <c r="K9" s="195">
        <f>K8+J9</f>
        <v>0</v>
      </c>
      <c r="L9" s="204">
        <f t="shared" si="2"/>
        <v>0</v>
      </c>
    </row>
    <row r="10" spans="2:12">
      <c r="B10" s="203">
        <v>44724</v>
      </c>
      <c r="C10" s="203">
        <v>44730</v>
      </c>
      <c r="D10" s="195">
        <v>2</v>
      </c>
      <c r="E10" s="195">
        <f t="shared" si="3"/>
        <v>9.1999999999999993</v>
      </c>
      <c r="F10" s="204">
        <f t="shared" si="0"/>
        <v>0.21395348837209302</v>
      </c>
      <c r="G10" s="195"/>
      <c r="H10" s="195"/>
      <c r="I10" s="195"/>
      <c r="J10" s="195"/>
      <c r="K10" s="195"/>
      <c r="L10" s="195"/>
    </row>
    <row r="11" spans="2:12">
      <c r="B11" s="203">
        <v>44731</v>
      </c>
      <c r="C11" s="203">
        <v>44737</v>
      </c>
      <c r="D11" s="195">
        <v>0</v>
      </c>
      <c r="E11" s="195">
        <f t="shared" si="3"/>
        <v>9.1999999999999993</v>
      </c>
      <c r="F11" s="204">
        <f t="shared" si="0"/>
        <v>0.21395348837209302</v>
      </c>
      <c r="G11" s="195"/>
      <c r="H11" s="195"/>
      <c r="I11" s="195"/>
      <c r="J11" s="195"/>
      <c r="K11" s="195"/>
      <c r="L11" s="195"/>
    </row>
    <row r="12" spans="2:12">
      <c r="B12" s="203">
        <v>44738</v>
      </c>
      <c r="C12" s="203">
        <v>44744</v>
      </c>
      <c r="D12" s="195">
        <v>5</v>
      </c>
      <c r="E12" s="195">
        <f t="shared" si="3"/>
        <v>14.2</v>
      </c>
      <c r="F12" s="204">
        <f t="shared" si="0"/>
        <v>0.33023255813953489</v>
      </c>
      <c r="G12" s="195"/>
      <c r="H12" s="195"/>
      <c r="I12" s="195"/>
      <c r="J12" s="195"/>
      <c r="K12" s="195"/>
      <c r="L12" s="195"/>
    </row>
    <row r="13" spans="2:12">
      <c r="B13" s="203">
        <v>44745</v>
      </c>
      <c r="C13" s="203">
        <v>44751</v>
      </c>
      <c r="D13" s="195">
        <v>5</v>
      </c>
      <c r="E13" s="195">
        <f t="shared" si="3"/>
        <v>19.2</v>
      </c>
      <c r="F13" s="204">
        <f t="shared" si="0"/>
        <v>0.44651162790697674</v>
      </c>
      <c r="G13" s="195"/>
      <c r="H13" s="195"/>
      <c r="I13" s="195"/>
      <c r="J13" s="195"/>
      <c r="K13" s="195"/>
      <c r="L13" s="195"/>
    </row>
    <row r="14" spans="2:12">
      <c r="B14" s="203">
        <v>44752</v>
      </c>
      <c r="C14" s="203">
        <v>44758</v>
      </c>
      <c r="D14" s="195">
        <v>5</v>
      </c>
      <c r="E14" s="195">
        <f t="shared" si="3"/>
        <v>24.2</v>
      </c>
      <c r="F14" s="204">
        <f t="shared" si="0"/>
        <v>0.56279069767441858</v>
      </c>
      <c r="G14" s="195"/>
      <c r="H14" s="195"/>
      <c r="I14" s="195"/>
      <c r="J14" s="195"/>
      <c r="K14" s="195"/>
      <c r="L14" s="195"/>
    </row>
    <row r="15" spans="2:12">
      <c r="B15" s="203">
        <v>44759</v>
      </c>
      <c r="C15" s="203">
        <v>44765</v>
      </c>
      <c r="D15" s="195">
        <v>3</v>
      </c>
      <c r="E15" s="195">
        <f t="shared" si="3"/>
        <v>27.2</v>
      </c>
      <c r="F15" s="204">
        <f t="shared" si="0"/>
        <v>0.63255813953488371</v>
      </c>
      <c r="G15" s="195"/>
      <c r="H15" s="195"/>
      <c r="I15" s="195"/>
      <c r="J15" s="195"/>
      <c r="K15" s="195"/>
      <c r="L15" s="195"/>
    </row>
    <row r="16" spans="2:12">
      <c r="B16" s="203">
        <v>44766</v>
      </c>
      <c r="C16" s="203">
        <v>44772</v>
      </c>
      <c r="D16" s="195">
        <v>9</v>
      </c>
      <c r="E16" s="195">
        <f t="shared" si="3"/>
        <v>36.200000000000003</v>
      </c>
      <c r="F16" s="204">
        <f t="shared" si="0"/>
        <v>0.8418604651162791</v>
      </c>
      <c r="G16" s="195"/>
      <c r="H16" s="195"/>
      <c r="I16" s="195"/>
      <c r="J16" s="195"/>
      <c r="K16" s="195"/>
      <c r="L16" s="195"/>
    </row>
    <row r="17" spans="2:12">
      <c r="B17" s="203">
        <v>44773</v>
      </c>
      <c r="C17" s="203">
        <v>44779</v>
      </c>
      <c r="D17" s="195">
        <v>6.8000000000000007</v>
      </c>
      <c r="E17" s="195">
        <f t="shared" si="3"/>
        <v>43</v>
      </c>
      <c r="F17" s="204">
        <f t="shared" si="0"/>
        <v>1</v>
      </c>
      <c r="G17" s="195"/>
      <c r="H17" s="195"/>
      <c r="I17" s="195"/>
      <c r="J17" s="195"/>
      <c r="K17" s="195"/>
      <c r="L17" s="195"/>
    </row>
    <row r="18" spans="2:12">
      <c r="C18" s="73" t="s">
        <v>338</v>
      </c>
      <c r="D18" s="73">
        <f>SUM(D7:D17)</f>
        <v>43</v>
      </c>
      <c r="G18" s="73">
        <f>SUM(G7:G17)</f>
        <v>0</v>
      </c>
      <c r="J18" s="73">
        <f>SUM(J7:J17)</f>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15" activePane="bottomLeft" state="frozenSplit"/>
      <selection pane="bottomLeft" activeCell="B15" sqref="B15"/>
    </sheetView>
  </sheetViews>
  <sheetFormatPr defaultColWidth="10" defaultRowHeight="14.4"/>
  <cols>
    <col min="1" max="1" width="31.5546875" style="63" customWidth="1"/>
    <col min="2" max="2" width="14.44140625" style="63" customWidth="1"/>
    <col min="3" max="3" width="7.5546875" style="63" customWidth="1"/>
    <col min="4" max="4" width="21.44140625" style="63" customWidth="1"/>
    <col min="5" max="5" width="14.109375" style="63" customWidth="1"/>
    <col min="6" max="6" width="10" style="63"/>
    <col min="7" max="7" width="24.33203125" style="63" customWidth="1"/>
    <col min="8" max="8" width="18.44140625" style="63" bestFit="1" customWidth="1"/>
    <col min="9" max="9" width="11.109375" style="63" bestFit="1" customWidth="1"/>
    <col min="10" max="10" width="27.4414062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339</v>
      </c>
      <c r="B1" s="1"/>
      <c r="C1" s="1"/>
      <c r="D1" s="1"/>
      <c r="E1" s="1"/>
      <c r="F1" s="1"/>
      <c r="G1" s="1"/>
      <c r="H1" s="1"/>
    </row>
    <row r="2" spans="1:9" s="64" customFormat="1" ht="78.75" customHeight="1">
      <c r="A2" s="325" t="s">
        <v>340</v>
      </c>
      <c r="B2" s="325"/>
      <c r="C2" s="325"/>
      <c r="D2" s="325"/>
      <c r="E2" s="325"/>
      <c r="F2" s="325"/>
      <c r="G2" s="325"/>
      <c r="H2" s="325"/>
    </row>
    <row r="3" spans="1:9" s="64" customFormat="1" ht="24.75" customHeight="1">
      <c r="A3" s="326" t="s">
        <v>341</v>
      </c>
      <c r="B3" s="326"/>
      <c r="D3" s="326" t="s">
        <v>342</v>
      </c>
      <c r="E3" s="326"/>
      <c r="G3" s="326" t="s">
        <v>343</v>
      </c>
      <c r="H3" s="326"/>
    </row>
    <row r="4" spans="1:9" s="66" customFormat="1" ht="19.5" customHeight="1">
      <c r="A4" s="65" t="s">
        <v>344</v>
      </c>
      <c r="B4" s="65" t="s">
        <v>345</v>
      </c>
      <c r="D4" s="65" t="s">
        <v>344</v>
      </c>
      <c r="E4" s="65" t="s">
        <v>345</v>
      </c>
      <c r="G4" s="65" t="s">
        <v>344</v>
      </c>
      <c r="H4" s="65" t="s">
        <v>345</v>
      </c>
    </row>
    <row r="5" spans="1:9" s="76" customFormat="1">
      <c r="A5" s="74"/>
      <c r="B5" s="75"/>
      <c r="C5" s="76" t="str">
        <f t="shared" ref="C5:C68" si="0">IF(B5&gt;0,TEXT(B5,"(aaa)"),"")</f>
        <v/>
      </c>
      <c r="D5" s="74"/>
      <c r="E5" s="75"/>
      <c r="F5" s="76" t="str">
        <f t="shared" ref="F5:F68" si="1">IF(E5&gt;0,TEXT(E5,"(aaa)"),"")</f>
        <v/>
      </c>
      <c r="G5" s="74"/>
      <c r="H5" s="75"/>
      <c r="I5" s="76" t="str">
        <f t="shared" ref="I5:I68" si="2">IF(H5&gt;0,TEXT(H5,"(aaa)"),"")</f>
        <v/>
      </c>
    </row>
    <row r="6" spans="1:9" s="76" customFormat="1">
      <c r="A6" s="74"/>
      <c r="B6" s="75"/>
      <c r="C6" s="76" t="str">
        <f t="shared" si="0"/>
        <v/>
      </c>
      <c r="D6" s="74"/>
      <c r="E6" s="75"/>
      <c r="F6" s="76" t="str">
        <f t="shared" si="1"/>
        <v/>
      </c>
      <c r="G6" s="74"/>
      <c r="H6" s="75"/>
      <c r="I6" s="76" t="str">
        <f t="shared" si="2"/>
        <v/>
      </c>
    </row>
    <row r="7" spans="1:9" s="76" customFormat="1">
      <c r="A7" s="74"/>
      <c r="B7" s="75"/>
      <c r="C7" s="76" t="str">
        <f t="shared" si="0"/>
        <v/>
      </c>
      <c r="D7" s="74"/>
      <c r="E7" s="75"/>
      <c r="F7" s="76" t="str">
        <f t="shared" si="1"/>
        <v/>
      </c>
      <c r="G7" s="74"/>
      <c r="H7" s="75"/>
      <c r="I7" s="76" t="str">
        <f t="shared" si="2"/>
        <v/>
      </c>
    </row>
    <row r="8" spans="1:9" s="76" customFormat="1">
      <c r="A8" s="74"/>
      <c r="B8" s="75"/>
      <c r="C8" s="76" t="str">
        <f t="shared" si="0"/>
        <v/>
      </c>
      <c r="D8" s="74"/>
      <c r="E8" s="75"/>
      <c r="F8" s="76" t="str">
        <f t="shared" si="1"/>
        <v/>
      </c>
      <c r="G8" s="74"/>
      <c r="H8" s="75"/>
      <c r="I8" s="76" t="str">
        <f t="shared" si="2"/>
        <v/>
      </c>
    </row>
    <row r="9" spans="1:9" s="76" customFormat="1">
      <c r="A9" s="74"/>
      <c r="B9" s="75"/>
      <c r="C9" s="76" t="str">
        <f t="shared" si="0"/>
        <v/>
      </c>
      <c r="D9" s="74"/>
      <c r="E9" s="75"/>
      <c r="F9" s="76" t="str">
        <f t="shared" si="1"/>
        <v/>
      </c>
      <c r="G9" s="74"/>
      <c r="H9" s="75"/>
      <c r="I9" s="76" t="str">
        <f t="shared" si="2"/>
        <v/>
      </c>
    </row>
    <row r="10" spans="1:9" s="76" customFormat="1">
      <c r="A10" s="74"/>
      <c r="B10" s="75"/>
      <c r="C10" s="76" t="str">
        <f t="shared" si="0"/>
        <v/>
      </c>
      <c r="D10" s="74"/>
      <c r="E10" s="75"/>
      <c r="F10" s="76" t="str">
        <f t="shared" si="1"/>
        <v/>
      </c>
      <c r="G10" s="74"/>
      <c r="H10" s="75"/>
      <c r="I10" s="76" t="str">
        <f t="shared" si="2"/>
        <v/>
      </c>
    </row>
    <row r="11" spans="1:9" s="76" customFormat="1">
      <c r="A11" s="74"/>
      <c r="B11" s="75"/>
      <c r="C11" s="76" t="str">
        <f t="shared" si="0"/>
        <v/>
      </c>
      <c r="D11" s="74"/>
      <c r="E11" s="75"/>
      <c r="F11" s="76" t="str">
        <f t="shared" si="1"/>
        <v/>
      </c>
      <c r="G11" s="74"/>
      <c r="H11" s="75"/>
      <c r="I11" s="76" t="str">
        <f t="shared" si="2"/>
        <v/>
      </c>
    </row>
    <row r="12" spans="1:9" s="76" customFormat="1">
      <c r="A12" s="74"/>
      <c r="B12" s="75"/>
      <c r="C12" s="76" t="str">
        <f t="shared" si="0"/>
        <v/>
      </c>
      <c r="D12" s="74"/>
      <c r="E12" s="75"/>
      <c r="F12" s="76" t="str">
        <f t="shared" si="1"/>
        <v/>
      </c>
      <c r="G12" s="74"/>
      <c r="H12" s="75"/>
      <c r="I12" s="76" t="str">
        <f t="shared" si="2"/>
        <v/>
      </c>
    </row>
    <row r="13" spans="1:9" s="76" customFormat="1">
      <c r="A13" s="74"/>
      <c r="B13" s="75"/>
      <c r="C13" s="76" t="str">
        <f t="shared" si="0"/>
        <v/>
      </c>
      <c r="D13" s="74"/>
      <c r="E13" s="75"/>
      <c r="F13" s="76" t="str">
        <f t="shared" si="1"/>
        <v/>
      </c>
      <c r="G13" s="74"/>
      <c r="H13" s="75"/>
      <c r="I13" s="76" t="str">
        <f t="shared" si="2"/>
        <v/>
      </c>
    </row>
    <row r="14" spans="1:9" s="76" customFormat="1">
      <c r="A14" s="74"/>
      <c r="B14" s="75"/>
      <c r="C14" s="76" t="str">
        <f t="shared" si="0"/>
        <v/>
      </c>
      <c r="D14" s="74"/>
      <c r="E14" s="75"/>
      <c r="F14" s="76" t="str">
        <f t="shared" si="1"/>
        <v/>
      </c>
      <c r="G14" s="74"/>
      <c r="H14" s="75"/>
      <c r="I14" s="76" t="str">
        <f t="shared" si="2"/>
        <v/>
      </c>
    </row>
    <row r="15" spans="1:9" s="76" customFormat="1">
      <c r="A15" s="74"/>
      <c r="B15" s="75"/>
      <c r="C15" s="76" t="str">
        <f t="shared" si="0"/>
        <v/>
      </c>
      <c r="D15" s="74"/>
      <c r="E15" s="75"/>
      <c r="F15" s="76" t="str">
        <f t="shared" si="1"/>
        <v/>
      </c>
      <c r="G15" s="74"/>
      <c r="H15" s="75"/>
      <c r="I15" s="76" t="str">
        <f t="shared" si="2"/>
        <v/>
      </c>
    </row>
    <row r="16" spans="1:9" s="76" customFormat="1">
      <c r="A16" s="74"/>
      <c r="B16" s="75"/>
      <c r="C16" s="76" t="str">
        <f t="shared" si="0"/>
        <v/>
      </c>
      <c r="D16" s="74"/>
      <c r="E16" s="75"/>
      <c r="F16" s="76" t="str">
        <f t="shared" si="1"/>
        <v/>
      </c>
      <c r="G16" s="74"/>
      <c r="H16" s="75"/>
      <c r="I16" s="76" t="str">
        <f t="shared" si="2"/>
        <v/>
      </c>
    </row>
    <row r="17" spans="1:10" s="76" customFormat="1">
      <c r="A17" s="74"/>
      <c r="B17" s="75"/>
      <c r="C17" s="76" t="str">
        <f t="shared" si="0"/>
        <v/>
      </c>
      <c r="D17" s="74"/>
      <c r="E17" s="75"/>
      <c r="F17" s="76" t="str">
        <f t="shared" si="1"/>
        <v/>
      </c>
      <c r="G17" s="74"/>
      <c r="H17" s="75"/>
      <c r="I17" s="76" t="str">
        <f t="shared" si="2"/>
        <v/>
      </c>
    </row>
    <row r="18" spans="1:10" s="76" customFormat="1">
      <c r="A18" s="74"/>
      <c r="B18" s="75"/>
      <c r="C18" s="76" t="str">
        <f t="shared" si="0"/>
        <v/>
      </c>
      <c r="D18" s="74"/>
      <c r="E18" s="75"/>
      <c r="F18" s="76" t="str">
        <f t="shared" si="1"/>
        <v/>
      </c>
      <c r="G18" s="74"/>
      <c r="H18" s="75"/>
      <c r="I18" s="76" t="str">
        <f t="shared" si="2"/>
        <v/>
      </c>
    </row>
    <row r="19" spans="1:10" s="76" customFormat="1" ht="15.6">
      <c r="A19" s="74"/>
      <c r="B19" s="75"/>
      <c r="C19" s="76" t="str">
        <f t="shared" si="0"/>
        <v/>
      </c>
      <c r="D19" s="74"/>
      <c r="E19" s="75"/>
      <c r="F19" s="76" t="str">
        <f t="shared" si="1"/>
        <v/>
      </c>
      <c r="G19" s="74"/>
      <c r="H19" s="75"/>
      <c r="I19" s="76" t="str">
        <f t="shared" si="2"/>
        <v/>
      </c>
      <c r="J19" s="77"/>
    </row>
    <row r="20" spans="1:10" s="76" customFormat="1" ht="15.6">
      <c r="A20" s="74"/>
      <c r="B20" s="75"/>
      <c r="C20" s="76" t="str">
        <f t="shared" si="0"/>
        <v/>
      </c>
      <c r="D20" s="74"/>
      <c r="E20" s="75"/>
      <c r="F20" s="76" t="str">
        <f t="shared" si="1"/>
        <v/>
      </c>
      <c r="G20" s="74"/>
      <c r="H20" s="75"/>
      <c r="I20" s="76" t="str">
        <f t="shared" si="2"/>
        <v/>
      </c>
      <c r="J20" s="77"/>
    </row>
    <row r="21" spans="1:10" s="76" customFormat="1">
      <c r="A21" s="74"/>
      <c r="B21" s="75"/>
      <c r="C21" s="76" t="str">
        <f t="shared" si="0"/>
        <v/>
      </c>
      <c r="D21" s="74"/>
      <c r="E21" s="75"/>
      <c r="F21" s="76" t="str">
        <f t="shared" si="1"/>
        <v/>
      </c>
      <c r="G21" s="74"/>
      <c r="H21" s="75"/>
      <c r="I21" s="76" t="str">
        <f t="shared" si="2"/>
        <v/>
      </c>
    </row>
    <row r="22" spans="1:10" s="76" customFormat="1">
      <c r="A22" s="74"/>
      <c r="B22" s="75"/>
      <c r="C22" s="76" t="str">
        <f t="shared" si="0"/>
        <v/>
      </c>
      <c r="D22" s="74"/>
      <c r="E22" s="75"/>
      <c r="F22" s="76" t="str">
        <f t="shared" si="1"/>
        <v/>
      </c>
      <c r="G22" s="74"/>
      <c r="H22" s="75"/>
      <c r="I22" s="76" t="str">
        <f t="shared" si="2"/>
        <v/>
      </c>
    </row>
    <row r="23" spans="1:10" s="76" customFormat="1">
      <c r="A23" s="74"/>
      <c r="B23" s="75"/>
      <c r="C23" s="76" t="str">
        <f t="shared" si="0"/>
        <v/>
      </c>
      <c r="D23" s="74"/>
      <c r="E23" s="75"/>
      <c r="F23" s="76" t="str">
        <f t="shared" si="1"/>
        <v/>
      </c>
      <c r="G23" s="74"/>
      <c r="H23" s="75"/>
      <c r="I23" s="76" t="str">
        <f t="shared" si="2"/>
        <v/>
      </c>
    </row>
    <row r="24" spans="1:10" s="76" customFormat="1">
      <c r="A24" s="74"/>
      <c r="B24" s="75"/>
      <c r="C24" s="76" t="str">
        <f t="shared" si="0"/>
        <v/>
      </c>
      <c r="D24" s="74"/>
      <c r="E24" s="75"/>
      <c r="F24" s="76" t="str">
        <f t="shared" si="1"/>
        <v/>
      </c>
      <c r="G24" s="74"/>
      <c r="H24" s="75"/>
      <c r="I24" s="76" t="str">
        <f t="shared" si="2"/>
        <v/>
      </c>
    </row>
    <row r="25" spans="1:10" s="76" customFormat="1">
      <c r="A25" s="74"/>
      <c r="B25" s="75"/>
      <c r="C25" s="76" t="str">
        <f t="shared" si="0"/>
        <v/>
      </c>
      <c r="D25" s="74"/>
      <c r="E25" s="75"/>
      <c r="F25" s="76" t="str">
        <f t="shared" si="1"/>
        <v/>
      </c>
      <c r="G25" s="74"/>
      <c r="H25" s="75"/>
      <c r="I25" s="76" t="str">
        <f t="shared" si="2"/>
        <v/>
      </c>
    </row>
    <row r="26" spans="1:10" s="76" customFormat="1">
      <c r="A26" s="74"/>
      <c r="B26" s="75"/>
      <c r="C26" s="76" t="str">
        <f t="shared" si="0"/>
        <v/>
      </c>
      <c r="D26" s="74"/>
      <c r="E26" s="75"/>
      <c r="F26" s="76" t="str">
        <f t="shared" si="1"/>
        <v/>
      </c>
      <c r="G26" s="74"/>
      <c r="H26" s="75"/>
      <c r="I26" s="76" t="str">
        <f t="shared" si="2"/>
        <v/>
      </c>
    </row>
    <row r="27" spans="1:10" s="76" customFormat="1">
      <c r="A27" s="74"/>
      <c r="B27" s="75"/>
      <c r="C27" s="76" t="str">
        <f t="shared" si="0"/>
        <v/>
      </c>
      <c r="D27" s="74"/>
      <c r="E27" s="75"/>
      <c r="F27" s="76" t="str">
        <f t="shared" si="1"/>
        <v/>
      </c>
      <c r="G27" s="74"/>
      <c r="H27" s="75"/>
      <c r="I27" s="76" t="str">
        <f t="shared" si="2"/>
        <v/>
      </c>
    </row>
    <row r="28" spans="1:10" s="76" customFormat="1">
      <c r="A28" s="74"/>
      <c r="B28" s="75"/>
      <c r="C28" s="76" t="str">
        <f t="shared" si="0"/>
        <v/>
      </c>
      <c r="D28" s="74"/>
      <c r="E28" s="75"/>
      <c r="F28" s="76" t="str">
        <f t="shared" si="1"/>
        <v/>
      </c>
      <c r="G28" s="74"/>
      <c r="H28" s="75"/>
      <c r="I28" s="76" t="str">
        <f t="shared" si="2"/>
        <v/>
      </c>
    </row>
    <row r="29" spans="1:10" s="76" customFormat="1">
      <c r="A29" s="74"/>
      <c r="B29" s="75"/>
      <c r="C29" s="76" t="str">
        <f t="shared" si="0"/>
        <v/>
      </c>
      <c r="D29" s="74"/>
      <c r="E29" s="75"/>
      <c r="F29" s="76" t="str">
        <f t="shared" si="1"/>
        <v/>
      </c>
      <c r="G29" s="74"/>
      <c r="H29" s="75"/>
      <c r="I29" s="76" t="str">
        <f t="shared" si="2"/>
        <v/>
      </c>
    </row>
    <row r="30" spans="1:10" s="76" customFormat="1">
      <c r="A30" s="74"/>
      <c r="B30" s="75"/>
      <c r="C30" s="76" t="str">
        <f t="shared" si="0"/>
        <v/>
      </c>
      <c r="D30" s="74"/>
      <c r="E30" s="75"/>
      <c r="F30" s="76" t="str">
        <f t="shared" si="1"/>
        <v/>
      </c>
      <c r="G30" s="74"/>
      <c r="H30" s="75"/>
      <c r="I30" s="76" t="str">
        <f t="shared" si="2"/>
        <v/>
      </c>
    </row>
    <row r="31" spans="1:10" s="76" customFormat="1">
      <c r="A31" s="74"/>
      <c r="B31" s="75"/>
      <c r="C31" s="76" t="str">
        <f t="shared" si="0"/>
        <v/>
      </c>
      <c r="D31" s="74"/>
      <c r="E31" s="75"/>
      <c r="F31" s="76" t="str">
        <f t="shared" si="1"/>
        <v/>
      </c>
      <c r="G31" s="74"/>
      <c r="H31" s="75"/>
      <c r="I31" s="76" t="str">
        <f t="shared" si="2"/>
        <v/>
      </c>
    </row>
    <row r="32" spans="1:10" s="76" customFormat="1">
      <c r="A32" s="74"/>
      <c r="B32" s="75"/>
      <c r="C32" s="76" t="str">
        <f t="shared" si="0"/>
        <v/>
      </c>
      <c r="D32" s="74"/>
      <c r="E32" s="75"/>
      <c r="F32" s="76" t="str">
        <f t="shared" si="1"/>
        <v/>
      </c>
      <c r="G32" s="74"/>
      <c r="H32" s="75"/>
      <c r="I32" s="76" t="str">
        <f t="shared" si="2"/>
        <v/>
      </c>
    </row>
    <row r="33" spans="1:9" s="76" customFormat="1">
      <c r="A33" s="74"/>
      <c r="B33" s="75"/>
      <c r="C33" s="76" t="str">
        <f t="shared" si="0"/>
        <v/>
      </c>
      <c r="D33" s="74"/>
      <c r="E33" s="75"/>
      <c r="F33" s="76" t="str">
        <f t="shared" si="1"/>
        <v/>
      </c>
      <c r="G33" s="74"/>
      <c r="H33" s="75"/>
      <c r="I33" s="76" t="str">
        <f t="shared" si="2"/>
        <v/>
      </c>
    </row>
    <row r="34" spans="1:9" s="76" customFormat="1">
      <c r="A34" s="74"/>
      <c r="B34" s="75"/>
      <c r="C34" s="76" t="str">
        <f t="shared" si="0"/>
        <v/>
      </c>
      <c r="D34" s="74"/>
      <c r="E34" s="75"/>
      <c r="F34" s="76" t="str">
        <f t="shared" si="1"/>
        <v/>
      </c>
      <c r="G34" s="74"/>
      <c r="H34" s="75"/>
      <c r="I34" s="76" t="str">
        <f t="shared" si="2"/>
        <v/>
      </c>
    </row>
    <row r="35" spans="1:9" s="76" customFormat="1">
      <c r="A35" s="74"/>
      <c r="B35" s="75"/>
      <c r="C35" s="76" t="str">
        <f t="shared" si="0"/>
        <v/>
      </c>
      <c r="D35" s="74"/>
      <c r="E35" s="75"/>
      <c r="F35" s="76" t="str">
        <f t="shared" si="1"/>
        <v/>
      </c>
      <c r="G35" s="74"/>
      <c r="H35" s="75"/>
      <c r="I35" s="76" t="str">
        <f t="shared" si="2"/>
        <v/>
      </c>
    </row>
    <row r="36" spans="1:9" s="76" customFormat="1">
      <c r="A36" s="74"/>
      <c r="B36" s="75"/>
      <c r="C36" s="76" t="str">
        <f t="shared" si="0"/>
        <v/>
      </c>
      <c r="D36" s="74"/>
      <c r="E36" s="75"/>
      <c r="F36" s="76" t="str">
        <f t="shared" si="1"/>
        <v/>
      </c>
      <c r="G36" s="74"/>
      <c r="H36" s="75"/>
      <c r="I36" s="76" t="str">
        <f t="shared" si="2"/>
        <v/>
      </c>
    </row>
    <row r="37" spans="1:9" s="76" customFormat="1">
      <c r="A37" s="74"/>
      <c r="B37" s="75"/>
      <c r="C37" s="76" t="str">
        <f t="shared" si="0"/>
        <v/>
      </c>
      <c r="D37" s="74"/>
      <c r="E37" s="75"/>
      <c r="F37" s="76" t="str">
        <f t="shared" si="1"/>
        <v/>
      </c>
      <c r="G37" s="74"/>
      <c r="H37" s="75"/>
      <c r="I37" s="76" t="str">
        <f t="shared" si="2"/>
        <v/>
      </c>
    </row>
    <row r="38" spans="1:9" s="76" customFormat="1">
      <c r="A38" s="74"/>
      <c r="B38" s="75"/>
      <c r="C38" s="76" t="str">
        <f t="shared" si="0"/>
        <v/>
      </c>
      <c r="D38" s="74"/>
      <c r="E38" s="75"/>
      <c r="F38" s="76" t="str">
        <f t="shared" si="1"/>
        <v/>
      </c>
      <c r="G38" s="74"/>
      <c r="H38" s="75"/>
      <c r="I38" s="76" t="str">
        <f t="shared" si="2"/>
        <v/>
      </c>
    </row>
    <row r="39" spans="1:9" s="76" customFormat="1">
      <c r="A39" s="74"/>
      <c r="B39" s="75"/>
      <c r="C39" s="76" t="str">
        <f t="shared" si="0"/>
        <v/>
      </c>
      <c r="D39" s="74"/>
      <c r="E39" s="75"/>
      <c r="F39" s="76" t="str">
        <f t="shared" si="1"/>
        <v/>
      </c>
      <c r="G39" s="74"/>
      <c r="H39" s="75"/>
      <c r="I39" s="76" t="str">
        <f t="shared" si="2"/>
        <v/>
      </c>
    </row>
    <row r="40" spans="1:9" s="76" customFormat="1">
      <c r="A40" s="74"/>
      <c r="B40" s="75"/>
      <c r="C40" s="76" t="str">
        <f t="shared" si="0"/>
        <v/>
      </c>
      <c r="D40" s="74"/>
      <c r="E40" s="75"/>
      <c r="F40" s="76" t="str">
        <f t="shared" si="1"/>
        <v/>
      </c>
      <c r="G40" s="74"/>
      <c r="H40" s="75"/>
      <c r="I40" s="76" t="str">
        <f t="shared" si="2"/>
        <v/>
      </c>
    </row>
    <row r="41" spans="1:9" s="76" customFormat="1">
      <c r="A41" s="74"/>
      <c r="B41" s="75"/>
      <c r="C41" s="76" t="str">
        <f t="shared" si="0"/>
        <v/>
      </c>
      <c r="D41" s="74"/>
      <c r="E41" s="75"/>
      <c r="F41" s="76" t="str">
        <f t="shared" si="1"/>
        <v/>
      </c>
      <c r="G41" s="74"/>
      <c r="H41" s="75"/>
      <c r="I41" s="76" t="str">
        <f t="shared" si="2"/>
        <v/>
      </c>
    </row>
    <row r="42" spans="1:9" s="76" customFormat="1">
      <c r="A42" s="74"/>
      <c r="B42" s="75"/>
      <c r="C42" s="76" t="str">
        <f t="shared" si="0"/>
        <v/>
      </c>
      <c r="D42" s="74"/>
      <c r="E42" s="75"/>
      <c r="F42" s="76" t="str">
        <f t="shared" si="1"/>
        <v/>
      </c>
      <c r="G42" s="74"/>
      <c r="H42" s="75"/>
      <c r="I42" s="76" t="str">
        <f t="shared" si="2"/>
        <v/>
      </c>
    </row>
    <row r="43" spans="1:9" s="76" customFormat="1">
      <c r="A43" s="74"/>
      <c r="B43" s="75"/>
      <c r="C43" s="76" t="str">
        <f t="shared" si="0"/>
        <v/>
      </c>
      <c r="D43" s="74"/>
      <c r="E43" s="75"/>
      <c r="F43" s="76" t="str">
        <f t="shared" si="1"/>
        <v/>
      </c>
      <c r="G43" s="74"/>
      <c r="H43" s="75"/>
      <c r="I43" s="76" t="str">
        <f t="shared" si="2"/>
        <v/>
      </c>
    </row>
    <row r="44" spans="1:9" s="76" customFormat="1">
      <c r="A44" s="74"/>
      <c r="B44" s="75"/>
      <c r="C44" s="76" t="str">
        <f t="shared" si="0"/>
        <v/>
      </c>
      <c r="D44" s="74"/>
      <c r="E44" s="75"/>
      <c r="F44" s="76" t="str">
        <f t="shared" si="1"/>
        <v/>
      </c>
      <c r="G44" s="74"/>
      <c r="H44" s="75"/>
      <c r="I44" s="76" t="str">
        <f t="shared" si="2"/>
        <v/>
      </c>
    </row>
    <row r="45" spans="1:9" s="76" customFormat="1">
      <c r="A45" s="74"/>
      <c r="B45" s="75"/>
      <c r="C45" s="76" t="str">
        <f t="shared" si="0"/>
        <v/>
      </c>
      <c r="D45" s="74"/>
      <c r="E45" s="75"/>
      <c r="F45" s="76" t="str">
        <f t="shared" si="1"/>
        <v/>
      </c>
      <c r="G45" s="74"/>
      <c r="H45" s="75"/>
      <c r="I45" s="76" t="str">
        <f t="shared" si="2"/>
        <v/>
      </c>
    </row>
    <row r="46" spans="1:9" s="76" customFormat="1">
      <c r="A46" s="74"/>
      <c r="B46" s="75"/>
      <c r="C46" s="76" t="str">
        <f t="shared" si="0"/>
        <v/>
      </c>
      <c r="D46" s="74"/>
      <c r="E46" s="75"/>
      <c r="F46" s="76" t="str">
        <f t="shared" si="1"/>
        <v/>
      </c>
      <c r="G46" s="74"/>
      <c r="H46" s="75"/>
      <c r="I46" s="76" t="str">
        <f t="shared" si="2"/>
        <v/>
      </c>
    </row>
    <row r="47" spans="1:9" s="76" customFormat="1">
      <c r="A47" s="74"/>
      <c r="B47" s="75"/>
      <c r="C47" s="76" t="str">
        <f t="shared" si="0"/>
        <v/>
      </c>
      <c r="D47" s="74"/>
      <c r="E47" s="75"/>
      <c r="F47" s="76" t="str">
        <f t="shared" si="1"/>
        <v/>
      </c>
      <c r="G47" s="74"/>
      <c r="H47" s="75"/>
      <c r="I47" s="76" t="str">
        <f t="shared" si="2"/>
        <v/>
      </c>
    </row>
    <row r="48" spans="1:9" s="76" customFormat="1">
      <c r="A48" s="74"/>
      <c r="B48" s="75"/>
      <c r="C48" s="76" t="str">
        <f t="shared" si="0"/>
        <v/>
      </c>
      <c r="D48" s="74"/>
      <c r="E48" s="75"/>
      <c r="F48" s="76" t="str">
        <f t="shared" si="1"/>
        <v/>
      </c>
      <c r="G48" s="74"/>
      <c r="H48" s="75"/>
      <c r="I48" s="76" t="str">
        <f t="shared" si="2"/>
        <v/>
      </c>
    </row>
    <row r="49" spans="1:9" s="76" customFormat="1">
      <c r="A49" s="74"/>
      <c r="B49" s="75"/>
      <c r="C49" s="76" t="str">
        <f t="shared" si="0"/>
        <v/>
      </c>
      <c r="D49" s="74"/>
      <c r="E49" s="75"/>
      <c r="F49" s="76" t="str">
        <f t="shared" si="1"/>
        <v/>
      </c>
      <c r="G49" s="74"/>
      <c r="H49" s="75"/>
      <c r="I49" s="76" t="str">
        <f t="shared" si="2"/>
        <v/>
      </c>
    </row>
    <row r="50" spans="1:9" s="76" customFormat="1">
      <c r="A50" s="74"/>
      <c r="B50" s="75"/>
      <c r="C50" s="76" t="str">
        <f t="shared" si="0"/>
        <v/>
      </c>
      <c r="D50" s="74"/>
      <c r="E50" s="75"/>
      <c r="F50" s="76" t="str">
        <f t="shared" si="1"/>
        <v/>
      </c>
      <c r="G50" s="74"/>
      <c r="H50" s="75"/>
      <c r="I50" s="76" t="str">
        <f t="shared" si="2"/>
        <v/>
      </c>
    </row>
    <row r="51" spans="1:9" s="76" customFormat="1">
      <c r="A51" s="74"/>
      <c r="B51" s="75"/>
      <c r="C51" s="76" t="str">
        <f t="shared" si="0"/>
        <v/>
      </c>
      <c r="D51" s="74"/>
      <c r="E51" s="75"/>
      <c r="F51" s="76" t="str">
        <f t="shared" si="1"/>
        <v/>
      </c>
      <c r="G51" s="74"/>
      <c r="H51" s="75"/>
      <c r="I51" s="76" t="str">
        <f t="shared" si="2"/>
        <v/>
      </c>
    </row>
    <row r="52" spans="1:9" s="76" customFormat="1">
      <c r="A52" s="74"/>
      <c r="B52" s="75"/>
      <c r="C52" s="76" t="str">
        <f t="shared" si="0"/>
        <v/>
      </c>
      <c r="D52" s="74"/>
      <c r="E52" s="75"/>
      <c r="F52" s="76" t="str">
        <f t="shared" si="1"/>
        <v/>
      </c>
      <c r="G52" s="74"/>
      <c r="H52" s="75"/>
      <c r="I52" s="76" t="str">
        <f t="shared" si="2"/>
        <v/>
      </c>
    </row>
    <row r="53" spans="1:9" s="76" customFormat="1">
      <c r="A53" s="74"/>
      <c r="B53" s="75"/>
      <c r="C53" s="76" t="str">
        <f t="shared" si="0"/>
        <v/>
      </c>
      <c r="D53" s="74"/>
      <c r="E53" s="75"/>
      <c r="F53" s="76" t="str">
        <f t="shared" si="1"/>
        <v/>
      </c>
      <c r="G53" s="74"/>
      <c r="H53" s="75"/>
      <c r="I53" s="76" t="str">
        <f t="shared" si="2"/>
        <v/>
      </c>
    </row>
    <row r="54" spans="1:9" s="76" customFormat="1">
      <c r="A54" s="74"/>
      <c r="B54" s="75"/>
      <c r="C54" s="76" t="str">
        <f t="shared" si="0"/>
        <v/>
      </c>
      <c r="D54" s="74"/>
      <c r="E54" s="75"/>
      <c r="F54" s="76" t="str">
        <f t="shared" si="1"/>
        <v/>
      </c>
      <c r="G54" s="74"/>
      <c r="H54" s="75"/>
      <c r="I54" s="76" t="str">
        <f t="shared" si="2"/>
        <v/>
      </c>
    </row>
    <row r="55" spans="1:9" s="76" customFormat="1">
      <c r="A55" s="74"/>
      <c r="B55" s="75"/>
      <c r="C55" s="76" t="str">
        <f t="shared" si="0"/>
        <v/>
      </c>
      <c r="D55" s="74"/>
      <c r="E55" s="75"/>
      <c r="F55" s="76" t="str">
        <f t="shared" si="1"/>
        <v/>
      </c>
      <c r="G55" s="74"/>
      <c r="H55" s="75"/>
      <c r="I55" s="76" t="str">
        <f t="shared" si="2"/>
        <v/>
      </c>
    </row>
    <row r="56" spans="1:9" s="76" customFormat="1">
      <c r="A56" s="74"/>
      <c r="B56" s="75"/>
      <c r="C56" s="76" t="str">
        <f t="shared" si="0"/>
        <v/>
      </c>
      <c r="D56" s="74"/>
      <c r="E56" s="75"/>
      <c r="F56" s="76" t="str">
        <f t="shared" si="1"/>
        <v/>
      </c>
      <c r="G56" s="74"/>
      <c r="H56" s="75"/>
      <c r="I56" s="76" t="str">
        <f t="shared" si="2"/>
        <v/>
      </c>
    </row>
    <row r="57" spans="1:9" s="76" customFormat="1">
      <c r="A57" s="74"/>
      <c r="B57" s="75"/>
      <c r="C57" s="76" t="str">
        <f t="shared" si="0"/>
        <v/>
      </c>
      <c r="D57" s="74"/>
      <c r="E57" s="75"/>
      <c r="F57" s="76" t="str">
        <f t="shared" si="1"/>
        <v/>
      </c>
      <c r="G57" s="74"/>
      <c r="H57" s="75"/>
      <c r="I57" s="76" t="str">
        <f t="shared" si="2"/>
        <v/>
      </c>
    </row>
    <row r="58" spans="1:9" s="76" customFormat="1">
      <c r="A58" s="74"/>
      <c r="B58" s="75"/>
      <c r="C58" s="76" t="str">
        <f t="shared" si="0"/>
        <v/>
      </c>
      <c r="D58" s="74"/>
      <c r="E58" s="75"/>
      <c r="F58" s="76" t="str">
        <f t="shared" si="1"/>
        <v/>
      </c>
      <c r="G58" s="74"/>
      <c r="H58" s="75"/>
      <c r="I58" s="76" t="str">
        <f t="shared" si="2"/>
        <v/>
      </c>
    </row>
    <row r="59" spans="1:9" s="76" customFormat="1">
      <c r="A59" s="74"/>
      <c r="B59" s="75"/>
      <c r="C59" s="76" t="str">
        <f t="shared" si="0"/>
        <v/>
      </c>
      <c r="D59" s="74"/>
      <c r="E59" s="75"/>
      <c r="F59" s="76" t="str">
        <f t="shared" si="1"/>
        <v/>
      </c>
      <c r="G59" s="74"/>
      <c r="H59" s="75"/>
      <c r="I59" s="76" t="str">
        <f t="shared" si="2"/>
        <v/>
      </c>
    </row>
    <row r="60" spans="1:9" s="76" customFormat="1">
      <c r="A60" s="74"/>
      <c r="B60" s="75"/>
      <c r="C60" s="76" t="str">
        <f t="shared" si="0"/>
        <v/>
      </c>
      <c r="D60" s="74"/>
      <c r="E60" s="75"/>
      <c r="F60" s="76" t="str">
        <f t="shared" si="1"/>
        <v/>
      </c>
      <c r="G60" s="74"/>
      <c r="H60" s="75"/>
      <c r="I60" s="76" t="str">
        <f t="shared" si="2"/>
        <v/>
      </c>
    </row>
    <row r="61" spans="1:9" s="76" customFormat="1">
      <c r="A61" s="74"/>
      <c r="B61" s="75"/>
      <c r="C61" s="76" t="str">
        <f t="shared" si="0"/>
        <v/>
      </c>
      <c r="D61" s="74"/>
      <c r="E61" s="75"/>
      <c r="F61" s="76" t="str">
        <f t="shared" si="1"/>
        <v/>
      </c>
      <c r="G61" s="74"/>
      <c r="H61" s="75"/>
      <c r="I61" s="76" t="str">
        <f t="shared" si="2"/>
        <v/>
      </c>
    </row>
    <row r="62" spans="1:9" s="76" customFormat="1">
      <c r="A62" s="74"/>
      <c r="B62" s="75"/>
      <c r="C62" s="76" t="str">
        <f t="shared" si="0"/>
        <v/>
      </c>
      <c r="D62" s="74"/>
      <c r="E62" s="75"/>
      <c r="F62" s="76" t="str">
        <f t="shared" si="1"/>
        <v/>
      </c>
      <c r="G62" s="74"/>
      <c r="H62" s="75"/>
      <c r="I62" s="76" t="str">
        <f t="shared" si="2"/>
        <v/>
      </c>
    </row>
    <row r="63" spans="1:9" s="76" customFormat="1">
      <c r="A63" s="74"/>
      <c r="B63" s="75"/>
      <c r="C63" s="76" t="str">
        <f t="shared" si="0"/>
        <v/>
      </c>
      <c r="D63" s="74"/>
      <c r="E63" s="75"/>
      <c r="F63" s="76" t="str">
        <f t="shared" si="1"/>
        <v/>
      </c>
      <c r="G63" s="74"/>
      <c r="H63" s="75"/>
      <c r="I63" s="76" t="str">
        <f t="shared" si="2"/>
        <v/>
      </c>
    </row>
    <row r="64" spans="1:9" s="76" customFormat="1">
      <c r="A64" s="74"/>
      <c r="B64" s="75"/>
      <c r="C64" s="76" t="str">
        <f t="shared" si="0"/>
        <v/>
      </c>
      <c r="D64" s="74"/>
      <c r="E64" s="75"/>
      <c r="F64" s="76" t="str">
        <f t="shared" si="1"/>
        <v/>
      </c>
      <c r="G64" s="74"/>
      <c r="H64" s="75"/>
      <c r="I64" s="76" t="str">
        <f t="shared" si="2"/>
        <v/>
      </c>
    </row>
    <row r="65" spans="1:9" s="76" customFormat="1">
      <c r="A65" s="74"/>
      <c r="B65" s="75"/>
      <c r="C65" s="76" t="str">
        <f t="shared" si="0"/>
        <v/>
      </c>
      <c r="D65" s="74"/>
      <c r="E65" s="75"/>
      <c r="F65" s="76" t="str">
        <f t="shared" si="1"/>
        <v/>
      </c>
      <c r="G65" s="74"/>
      <c r="H65" s="75"/>
      <c r="I65" s="76" t="str">
        <f t="shared" si="2"/>
        <v/>
      </c>
    </row>
    <row r="66" spans="1:9" s="76" customFormat="1">
      <c r="A66" s="74"/>
      <c r="B66" s="75"/>
      <c r="C66" s="76" t="str">
        <f t="shared" si="0"/>
        <v/>
      </c>
      <c r="D66" s="74"/>
      <c r="E66" s="75"/>
      <c r="F66" s="76" t="str">
        <f t="shared" si="1"/>
        <v/>
      </c>
      <c r="G66" s="74"/>
      <c r="H66" s="75"/>
      <c r="I66" s="76" t="str">
        <f t="shared" si="2"/>
        <v/>
      </c>
    </row>
    <row r="67" spans="1:9" s="76" customFormat="1">
      <c r="A67" s="74"/>
      <c r="B67" s="75"/>
      <c r="C67" s="76" t="str">
        <f t="shared" si="0"/>
        <v/>
      </c>
      <c r="D67" s="74"/>
      <c r="E67" s="75"/>
      <c r="F67" s="76" t="str">
        <f t="shared" si="1"/>
        <v/>
      </c>
      <c r="G67" s="74"/>
      <c r="H67" s="75"/>
      <c r="I67" s="76" t="str">
        <f t="shared" si="2"/>
        <v/>
      </c>
    </row>
    <row r="68" spans="1:9" s="76" customFormat="1">
      <c r="A68" s="74"/>
      <c r="B68" s="75"/>
      <c r="C68" s="76" t="str">
        <f t="shared" si="0"/>
        <v/>
      </c>
      <c r="D68" s="74"/>
      <c r="E68" s="75"/>
      <c r="F68" s="76" t="str">
        <f t="shared" si="1"/>
        <v/>
      </c>
      <c r="G68" s="74"/>
      <c r="H68" s="75"/>
      <c r="I68" s="76" t="str">
        <f t="shared" si="2"/>
        <v/>
      </c>
    </row>
    <row r="69" spans="1:9" s="76" customFormat="1">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c r="A70" s="74"/>
      <c r="B70" s="75"/>
      <c r="C70" s="76" t="str">
        <f t="shared" si="3"/>
        <v/>
      </c>
      <c r="D70" s="74"/>
      <c r="E70" s="75"/>
      <c r="F70" s="76" t="str">
        <f t="shared" si="4"/>
        <v/>
      </c>
      <c r="G70" s="74"/>
      <c r="H70" s="75"/>
      <c r="I70" s="76" t="str">
        <f t="shared" si="5"/>
        <v/>
      </c>
    </row>
    <row r="71" spans="1:9" s="76" customFormat="1">
      <c r="A71" s="74"/>
      <c r="B71" s="75"/>
      <c r="C71" s="76" t="str">
        <f t="shared" si="3"/>
        <v/>
      </c>
      <c r="D71" s="74"/>
      <c r="E71" s="75"/>
      <c r="F71" s="76" t="str">
        <f t="shared" si="4"/>
        <v/>
      </c>
      <c r="G71" s="74"/>
      <c r="H71" s="75"/>
      <c r="I71" s="76" t="str">
        <f t="shared" si="5"/>
        <v/>
      </c>
    </row>
    <row r="72" spans="1:9" s="76" customFormat="1">
      <c r="A72" s="74"/>
      <c r="B72" s="75"/>
      <c r="C72" s="76" t="str">
        <f t="shared" si="3"/>
        <v/>
      </c>
      <c r="D72" s="74"/>
      <c r="E72" s="75"/>
      <c r="F72" s="76" t="str">
        <f t="shared" si="4"/>
        <v/>
      </c>
      <c r="G72" s="74"/>
      <c r="H72" s="75"/>
      <c r="I72" s="76" t="str">
        <f t="shared" si="5"/>
        <v/>
      </c>
    </row>
    <row r="73" spans="1:9" s="76" customFormat="1">
      <c r="A73" s="74"/>
      <c r="B73" s="75"/>
      <c r="C73" s="76" t="str">
        <f t="shared" si="3"/>
        <v/>
      </c>
      <c r="D73" s="74"/>
      <c r="E73" s="75"/>
      <c r="F73" s="76" t="str">
        <f t="shared" si="4"/>
        <v/>
      </c>
      <c r="G73" s="74"/>
      <c r="H73" s="75"/>
      <c r="I73" s="76" t="str">
        <f t="shared" si="5"/>
        <v/>
      </c>
    </row>
    <row r="74" spans="1:9" s="76" customFormat="1">
      <c r="A74" s="74"/>
      <c r="B74" s="75"/>
      <c r="C74" s="76" t="str">
        <f t="shared" si="3"/>
        <v/>
      </c>
      <c r="D74" s="74"/>
      <c r="E74" s="75"/>
      <c r="F74" s="76" t="str">
        <f t="shared" si="4"/>
        <v/>
      </c>
      <c r="G74" s="74"/>
      <c r="H74" s="75"/>
      <c r="I74" s="76" t="str">
        <f t="shared" si="5"/>
        <v/>
      </c>
    </row>
    <row r="75" spans="1:9" s="76" customFormat="1">
      <c r="A75" s="74"/>
      <c r="B75" s="75"/>
      <c r="C75" s="76" t="str">
        <f t="shared" si="3"/>
        <v/>
      </c>
      <c r="D75" s="74"/>
      <c r="E75" s="75"/>
      <c r="F75" s="76" t="str">
        <f t="shared" si="4"/>
        <v/>
      </c>
      <c r="G75" s="74"/>
      <c r="H75" s="75"/>
      <c r="I75" s="76" t="str">
        <f t="shared" si="5"/>
        <v/>
      </c>
    </row>
    <row r="76" spans="1:9" s="76" customFormat="1">
      <c r="A76" s="74"/>
      <c r="B76" s="75"/>
      <c r="C76" s="76" t="str">
        <f t="shared" si="3"/>
        <v/>
      </c>
      <c r="D76" s="74"/>
      <c r="E76" s="75"/>
      <c r="F76" s="76" t="str">
        <f t="shared" si="4"/>
        <v/>
      </c>
      <c r="G76" s="74"/>
      <c r="H76" s="75"/>
      <c r="I76" s="76" t="str">
        <f t="shared" si="5"/>
        <v/>
      </c>
    </row>
    <row r="77" spans="1:9" s="76" customFormat="1">
      <c r="A77" s="74"/>
      <c r="B77" s="75"/>
      <c r="C77" s="76" t="str">
        <f t="shared" si="3"/>
        <v/>
      </c>
      <c r="D77" s="74"/>
      <c r="E77" s="75"/>
      <c r="F77" s="76" t="str">
        <f t="shared" si="4"/>
        <v/>
      </c>
      <c r="G77" s="74"/>
      <c r="H77" s="75"/>
      <c r="I77" s="76" t="str">
        <f t="shared" si="5"/>
        <v/>
      </c>
    </row>
    <row r="78" spans="1:9" s="76" customFormat="1">
      <c r="A78" s="74"/>
      <c r="B78" s="75"/>
      <c r="C78" s="76" t="str">
        <f t="shared" si="3"/>
        <v/>
      </c>
      <c r="D78" s="74"/>
      <c r="E78" s="75"/>
      <c r="F78" s="76" t="str">
        <f t="shared" si="4"/>
        <v/>
      </c>
      <c r="G78" s="74"/>
      <c r="H78" s="75"/>
      <c r="I78" s="76" t="str">
        <f t="shared" si="5"/>
        <v/>
      </c>
    </row>
    <row r="79" spans="1:9" s="76" customFormat="1">
      <c r="A79" s="74"/>
      <c r="B79" s="75"/>
      <c r="C79" s="76" t="str">
        <f t="shared" si="3"/>
        <v/>
      </c>
      <c r="D79" s="74"/>
      <c r="E79" s="75"/>
      <c r="F79" s="76" t="str">
        <f t="shared" si="4"/>
        <v/>
      </c>
      <c r="G79" s="74"/>
      <c r="H79" s="75"/>
      <c r="I79" s="76" t="str">
        <f t="shared" si="5"/>
        <v/>
      </c>
    </row>
    <row r="80" spans="1:9" s="76" customFormat="1">
      <c r="A80" s="74"/>
      <c r="B80" s="75"/>
      <c r="C80" s="76" t="str">
        <f t="shared" si="3"/>
        <v/>
      </c>
      <c r="D80" s="74"/>
      <c r="E80" s="75"/>
      <c r="F80" s="76" t="str">
        <f t="shared" si="4"/>
        <v/>
      </c>
      <c r="G80" s="74"/>
      <c r="H80" s="75"/>
      <c r="I80" s="76" t="str">
        <f t="shared" si="5"/>
        <v/>
      </c>
    </row>
    <row r="81" spans="1:9" s="76" customFormat="1">
      <c r="A81" s="74"/>
      <c r="B81" s="75"/>
      <c r="C81" s="76" t="str">
        <f t="shared" si="3"/>
        <v/>
      </c>
      <c r="D81" s="74"/>
      <c r="E81" s="75"/>
      <c r="F81" s="76" t="str">
        <f t="shared" si="4"/>
        <v/>
      </c>
      <c r="G81" s="74"/>
      <c r="H81" s="75"/>
      <c r="I81" s="76" t="str">
        <f t="shared" si="5"/>
        <v/>
      </c>
    </row>
    <row r="82" spans="1:9" s="76" customFormat="1">
      <c r="A82" s="74"/>
      <c r="B82" s="75"/>
      <c r="C82" s="76" t="str">
        <f t="shared" si="3"/>
        <v/>
      </c>
      <c r="D82" s="74"/>
      <c r="E82" s="75"/>
      <c r="F82" s="76" t="str">
        <f t="shared" si="4"/>
        <v/>
      </c>
      <c r="G82" s="74"/>
      <c r="H82" s="75"/>
      <c r="I82" s="76" t="str">
        <f t="shared" si="5"/>
        <v/>
      </c>
    </row>
    <row r="83" spans="1:9" s="76" customFormat="1">
      <c r="A83" s="74"/>
      <c r="B83" s="75"/>
      <c r="C83" s="76" t="str">
        <f t="shared" si="3"/>
        <v/>
      </c>
      <c r="D83" s="74"/>
      <c r="E83" s="75"/>
      <c r="F83" s="76" t="str">
        <f t="shared" si="4"/>
        <v/>
      </c>
      <c r="G83" s="74"/>
      <c r="H83" s="75"/>
      <c r="I83" s="76" t="str">
        <f t="shared" si="5"/>
        <v/>
      </c>
    </row>
    <row r="84" spans="1:9" s="76" customFormat="1">
      <c r="A84" s="74"/>
      <c r="B84" s="75"/>
      <c r="C84" s="76" t="str">
        <f t="shared" si="3"/>
        <v/>
      </c>
      <c r="D84" s="74"/>
      <c r="E84" s="75"/>
      <c r="F84" s="76" t="str">
        <f t="shared" si="4"/>
        <v/>
      </c>
      <c r="G84" s="74"/>
      <c r="H84" s="75"/>
      <c r="I84" s="76" t="str">
        <f t="shared" si="5"/>
        <v/>
      </c>
    </row>
    <row r="85" spans="1:9" s="76" customFormat="1">
      <c r="A85" s="74"/>
      <c r="B85" s="75"/>
      <c r="C85" s="76" t="str">
        <f t="shared" si="3"/>
        <v/>
      </c>
      <c r="D85" s="74"/>
      <c r="E85" s="75"/>
      <c r="F85" s="76" t="str">
        <f t="shared" si="4"/>
        <v/>
      </c>
      <c r="G85" s="74"/>
      <c r="H85" s="75"/>
      <c r="I85" s="76" t="str">
        <f t="shared" si="5"/>
        <v/>
      </c>
    </row>
    <row r="86" spans="1:9" s="76" customFormat="1">
      <c r="A86" s="74"/>
      <c r="B86" s="75"/>
      <c r="C86" s="76" t="str">
        <f t="shared" si="3"/>
        <v/>
      </c>
      <c r="D86" s="74"/>
      <c r="E86" s="75"/>
      <c r="F86" s="76" t="str">
        <f t="shared" si="4"/>
        <v/>
      </c>
      <c r="G86" s="74"/>
      <c r="H86" s="75"/>
      <c r="I86" s="76" t="str">
        <f t="shared" si="5"/>
        <v/>
      </c>
    </row>
    <row r="87" spans="1:9" s="76" customFormat="1">
      <c r="A87" s="74"/>
      <c r="B87" s="75"/>
      <c r="C87" s="76" t="str">
        <f t="shared" si="3"/>
        <v/>
      </c>
      <c r="D87" s="74"/>
      <c r="E87" s="75"/>
      <c r="F87" s="76" t="str">
        <f t="shared" si="4"/>
        <v/>
      </c>
      <c r="G87" s="74"/>
      <c r="H87" s="75"/>
      <c r="I87" s="76" t="str">
        <f t="shared" si="5"/>
        <v/>
      </c>
    </row>
    <row r="88" spans="1:9" s="76" customFormat="1">
      <c r="A88" s="74"/>
      <c r="B88" s="75"/>
      <c r="C88" s="76" t="str">
        <f t="shared" si="3"/>
        <v/>
      </c>
      <c r="D88" s="74"/>
      <c r="E88" s="75"/>
      <c r="F88" s="76" t="str">
        <f t="shared" si="4"/>
        <v/>
      </c>
      <c r="G88" s="74"/>
      <c r="H88" s="75"/>
      <c r="I88" s="76" t="str">
        <f t="shared" si="5"/>
        <v/>
      </c>
    </row>
    <row r="89" spans="1:9" s="76" customFormat="1">
      <c r="A89" s="74"/>
      <c r="B89" s="75"/>
      <c r="C89" s="76" t="str">
        <f t="shared" si="3"/>
        <v/>
      </c>
      <c r="D89" s="74"/>
      <c r="E89" s="75"/>
      <c r="F89" s="76" t="str">
        <f t="shared" si="4"/>
        <v/>
      </c>
      <c r="G89" s="74"/>
      <c r="H89" s="75"/>
      <c r="I89" s="76" t="str">
        <f t="shared" si="5"/>
        <v/>
      </c>
    </row>
    <row r="90" spans="1:9" s="76" customFormat="1">
      <c r="A90" s="74"/>
      <c r="B90" s="75"/>
      <c r="C90" s="76" t="str">
        <f t="shared" si="3"/>
        <v/>
      </c>
      <c r="D90" s="74"/>
      <c r="E90" s="75"/>
      <c r="F90" s="76" t="str">
        <f t="shared" si="4"/>
        <v/>
      </c>
      <c r="G90" s="74"/>
      <c r="H90" s="75"/>
      <c r="I90" s="76" t="str">
        <f t="shared" si="5"/>
        <v/>
      </c>
    </row>
    <row r="91" spans="1:9" s="76" customFormat="1">
      <c r="A91" s="74"/>
      <c r="B91" s="75"/>
      <c r="C91" s="76" t="str">
        <f t="shared" si="3"/>
        <v/>
      </c>
      <c r="D91" s="74"/>
      <c r="E91" s="75"/>
      <c r="F91" s="76" t="str">
        <f t="shared" si="4"/>
        <v/>
      </c>
      <c r="G91" s="74"/>
      <c r="H91" s="75"/>
      <c r="I91" s="76" t="str">
        <f t="shared" si="5"/>
        <v/>
      </c>
    </row>
    <row r="92" spans="1:9" s="76" customFormat="1">
      <c r="A92" s="74"/>
      <c r="B92" s="75"/>
      <c r="C92" s="76" t="str">
        <f t="shared" si="3"/>
        <v/>
      </c>
      <c r="D92" s="74"/>
      <c r="E92" s="75"/>
      <c r="F92" s="76" t="str">
        <f t="shared" si="4"/>
        <v/>
      </c>
      <c r="G92" s="74"/>
      <c r="H92" s="75"/>
      <c r="I92" s="76" t="str">
        <f t="shared" si="5"/>
        <v/>
      </c>
    </row>
    <row r="93" spans="1:9" s="76" customFormat="1">
      <c r="A93" s="74"/>
      <c r="B93" s="75"/>
      <c r="C93" s="76" t="str">
        <f t="shared" si="3"/>
        <v/>
      </c>
      <c r="D93" s="74"/>
      <c r="E93" s="75"/>
      <c r="F93" s="76" t="str">
        <f t="shared" si="4"/>
        <v/>
      </c>
      <c r="G93" s="74"/>
      <c r="H93" s="75"/>
      <c r="I93" s="76" t="str">
        <f t="shared" si="5"/>
        <v/>
      </c>
    </row>
    <row r="94" spans="1:9" s="76" customFormat="1">
      <c r="A94" s="74"/>
      <c r="B94" s="75"/>
      <c r="C94" s="76" t="str">
        <f t="shared" si="3"/>
        <v/>
      </c>
      <c r="D94" s="74"/>
      <c r="E94" s="75"/>
      <c r="F94" s="76" t="str">
        <f t="shared" si="4"/>
        <v/>
      </c>
      <c r="G94" s="74"/>
      <c r="H94" s="75"/>
      <c r="I94" s="76" t="str">
        <f t="shared" si="5"/>
        <v/>
      </c>
    </row>
    <row r="95" spans="1:9" s="76" customFormat="1">
      <c r="A95" s="74"/>
      <c r="B95" s="75"/>
      <c r="C95" s="76" t="str">
        <f t="shared" si="3"/>
        <v/>
      </c>
      <c r="D95" s="74"/>
      <c r="E95" s="75"/>
      <c r="F95" s="76" t="str">
        <f t="shared" si="4"/>
        <v/>
      </c>
      <c r="G95" s="74"/>
      <c r="H95" s="75"/>
      <c r="I95" s="76" t="str">
        <f t="shared" si="5"/>
        <v/>
      </c>
    </row>
    <row r="96" spans="1:9" s="76" customFormat="1">
      <c r="A96" s="74"/>
      <c r="B96" s="75"/>
      <c r="C96" s="76" t="str">
        <f t="shared" si="3"/>
        <v/>
      </c>
      <c r="D96" s="74"/>
      <c r="E96" s="75"/>
      <c r="F96" s="76" t="str">
        <f t="shared" si="4"/>
        <v/>
      </c>
      <c r="G96" s="74"/>
      <c r="H96" s="75"/>
      <c r="I96" s="76" t="str">
        <f t="shared" si="5"/>
        <v/>
      </c>
    </row>
    <row r="97" spans="1:9" s="76" customFormat="1">
      <c r="A97" s="74"/>
      <c r="B97" s="75"/>
      <c r="C97" s="76" t="str">
        <f t="shared" si="3"/>
        <v/>
      </c>
      <c r="D97" s="74"/>
      <c r="E97" s="75"/>
      <c r="F97" s="76" t="str">
        <f t="shared" si="4"/>
        <v/>
      </c>
      <c r="G97" s="74"/>
      <c r="H97" s="75"/>
      <c r="I97" s="76" t="str">
        <f t="shared" si="5"/>
        <v/>
      </c>
    </row>
    <row r="98" spans="1:9" s="76" customFormat="1">
      <c r="A98" s="74"/>
      <c r="B98" s="75"/>
      <c r="C98" s="76" t="str">
        <f t="shared" si="3"/>
        <v/>
      </c>
      <c r="D98" s="74"/>
      <c r="E98" s="75"/>
      <c r="F98" s="76" t="str">
        <f t="shared" si="4"/>
        <v/>
      </c>
      <c r="G98" s="74"/>
      <c r="H98" s="75"/>
      <c r="I98" s="76" t="str">
        <f t="shared" si="5"/>
        <v/>
      </c>
    </row>
    <row r="99" spans="1:9" s="76" customFormat="1">
      <c r="A99" s="74"/>
      <c r="B99" s="75"/>
      <c r="C99" s="76" t="str">
        <f t="shared" si="3"/>
        <v/>
      </c>
      <c r="D99" s="74"/>
      <c r="E99" s="75"/>
      <c r="F99" s="76" t="str">
        <f t="shared" si="4"/>
        <v/>
      </c>
      <c r="G99" s="74"/>
      <c r="H99" s="75"/>
      <c r="I99" s="76" t="str">
        <f t="shared" si="5"/>
        <v/>
      </c>
    </row>
    <row r="100" spans="1:9" s="76" customFormat="1">
      <c r="A100" s="74"/>
      <c r="B100" s="75"/>
      <c r="C100" s="76" t="str">
        <f t="shared" si="3"/>
        <v/>
      </c>
      <c r="D100" s="74"/>
      <c r="E100" s="75"/>
      <c r="F100" s="76" t="str">
        <f t="shared" si="4"/>
        <v/>
      </c>
      <c r="G100" s="74"/>
      <c r="H100" s="75"/>
      <c r="I100" s="76" t="str">
        <f t="shared" si="5"/>
        <v/>
      </c>
    </row>
    <row r="101" spans="1:9" s="76" customFormat="1">
      <c r="A101" s="74"/>
      <c r="B101" s="75"/>
      <c r="C101" s="76" t="str">
        <f t="shared" si="3"/>
        <v/>
      </c>
      <c r="D101" s="74"/>
      <c r="E101" s="75"/>
      <c r="F101" s="76" t="str">
        <f t="shared" si="4"/>
        <v/>
      </c>
      <c r="G101" s="74"/>
      <c r="H101" s="75"/>
      <c r="I101" s="76" t="str">
        <f t="shared" si="5"/>
        <v/>
      </c>
    </row>
    <row r="102" spans="1:9" s="76" customFormat="1">
      <c r="A102" s="74"/>
      <c r="B102" s="75"/>
      <c r="C102" s="76" t="str">
        <f t="shared" si="3"/>
        <v/>
      </c>
      <c r="D102" s="74"/>
      <c r="E102" s="75"/>
      <c r="F102" s="76" t="str">
        <f t="shared" si="4"/>
        <v/>
      </c>
      <c r="G102" s="74"/>
      <c r="H102" s="75"/>
      <c r="I102" s="76" t="str">
        <f t="shared" si="5"/>
        <v/>
      </c>
    </row>
    <row r="103" spans="1:9" s="76" customFormat="1">
      <c r="A103" s="74"/>
      <c r="B103" s="75"/>
      <c r="C103" s="76" t="str">
        <f t="shared" si="3"/>
        <v/>
      </c>
      <c r="D103" s="74"/>
      <c r="E103" s="75"/>
      <c r="F103" s="76" t="str">
        <f t="shared" si="4"/>
        <v/>
      </c>
      <c r="G103" s="74"/>
      <c r="H103" s="75"/>
      <c r="I103" s="76" t="str">
        <f t="shared" si="5"/>
        <v/>
      </c>
    </row>
    <row r="104" spans="1:9" s="76" customFormat="1">
      <c r="A104" s="74"/>
      <c r="B104" s="75"/>
      <c r="C104" s="76" t="str">
        <f t="shared" si="3"/>
        <v/>
      </c>
      <c r="D104" s="74"/>
      <c r="E104" s="75"/>
      <c r="F104" s="76" t="str">
        <f t="shared" si="4"/>
        <v/>
      </c>
      <c r="G104" s="74"/>
      <c r="H104" s="75"/>
      <c r="I104" s="76" t="str">
        <f t="shared" si="5"/>
        <v/>
      </c>
    </row>
    <row r="105" spans="1:9" s="76" customFormat="1">
      <c r="A105" s="74"/>
      <c r="B105" s="75"/>
      <c r="C105" s="76" t="str">
        <f t="shared" si="3"/>
        <v/>
      </c>
      <c r="D105" s="74"/>
      <c r="E105" s="75"/>
      <c r="F105" s="76" t="str">
        <f t="shared" si="4"/>
        <v/>
      </c>
      <c r="G105" s="74"/>
      <c r="H105" s="75"/>
      <c r="I105" s="76" t="str">
        <f t="shared" si="5"/>
        <v/>
      </c>
    </row>
    <row r="106" spans="1:9" s="76" customFormat="1">
      <c r="A106" s="74"/>
      <c r="B106" s="75"/>
      <c r="C106" s="76" t="str">
        <f t="shared" si="3"/>
        <v/>
      </c>
      <c r="D106" s="74"/>
      <c r="E106" s="75"/>
      <c r="F106" s="76" t="str">
        <f t="shared" si="4"/>
        <v/>
      </c>
      <c r="G106" s="74"/>
      <c r="H106" s="75"/>
      <c r="I106" s="76" t="str">
        <f t="shared" si="5"/>
        <v/>
      </c>
    </row>
    <row r="107" spans="1:9" s="76" customFormat="1">
      <c r="A107" s="74"/>
      <c r="B107" s="75"/>
      <c r="C107" s="76" t="str">
        <f t="shared" si="3"/>
        <v/>
      </c>
      <c r="D107" s="74"/>
      <c r="E107" s="75"/>
      <c r="F107" s="76" t="str">
        <f t="shared" si="4"/>
        <v/>
      </c>
      <c r="G107" s="74"/>
      <c r="H107" s="75"/>
      <c r="I107" s="76" t="str">
        <f t="shared" si="5"/>
        <v/>
      </c>
    </row>
    <row r="108" spans="1:9" s="76" customFormat="1">
      <c r="A108" s="74"/>
      <c r="B108" s="75"/>
      <c r="C108" s="76" t="str">
        <f t="shared" si="3"/>
        <v/>
      </c>
      <c r="D108" s="74"/>
      <c r="E108" s="75"/>
      <c r="F108" s="76" t="str">
        <f t="shared" si="4"/>
        <v/>
      </c>
      <c r="G108" s="74"/>
      <c r="H108" s="75"/>
      <c r="I108" s="76" t="str">
        <f t="shared" si="5"/>
        <v/>
      </c>
    </row>
    <row r="109" spans="1:9" s="76" customFormat="1">
      <c r="A109" s="74"/>
      <c r="B109" s="75"/>
      <c r="C109" s="76" t="str">
        <f t="shared" si="3"/>
        <v/>
      </c>
      <c r="D109" s="74"/>
      <c r="E109" s="75"/>
      <c r="F109" s="76" t="str">
        <f t="shared" si="4"/>
        <v/>
      </c>
      <c r="G109" s="74"/>
      <c r="H109" s="75"/>
      <c r="I109" s="76" t="str">
        <f t="shared" si="5"/>
        <v/>
      </c>
    </row>
    <row r="110" spans="1:9" s="76" customFormat="1">
      <c r="A110" s="74"/>
      <c r="B110" s="75"/>
      <c r="C110" s="76" t="str">
        <f t="shared" si="3"/>
        <v/>
      </c>
      <c r="D110" s="74"/>
      <c r="E110" s="75"/>
      <c r="F110" s="76" t="str">
        <f t="shared" si="4"/>
        <v/>
      </c>
      <c r="G110" s="74"/>
      <c r="H110" s="75"/>
      <c r="I110" s="76" t="str">
        <f t="shared" si="5"/>
        <v/>
      </c>
    </row>
    <row r="111" spans="1:9" s="76" customFormat="1">
      <c r="A111" s="74"/>
      <c r="B111" s="75"/>
      <c r="C111" s="76" t="str">
        <f t="shared" si="3"/>
        <v/>
      </c>
      <c r="D111" s="74"/>
      <c r="E111" s="75"/>
      <c r="F111" s="76" t="str">
        <f t="shared" si="4"/>
        <v/>
      </c>
      <c r="G111" s="74"/>
      <c r="H111" s="75"/>
      <c r="I111" s="76" t="str">
        <f t="shared" si="5"/>
        <v/>
      </c>
    </row>
    <row r="112" spans="1:9" s="76" customFormat="1">
      <c r="A112" s="74"/>
      <c r="B112" s="75"/>
      <c r="C112" s="76" t="str">
        <f t="shared" si="3"/>
        <v/>
      </c>
      <c r="D112" s="74"/>
      <c r="E112" s="75"/>
      <c r="F112" s="76" t="str">
        <f t="shared" si="4"/>
        <v/>
      </c>
      <c r="G112" s="74"/>
      <c r="H112" s="75"/>
      <c r="I112" s="76" t="str">
        <f t="shared" si="5"/>
        <v/>
      </c>
    </row>
    <row r="113" spans="1:9" s="76" customFormat="1">
      <c r="A113" s="74"/>
      <c r="B113" s="75"/>
      <c r="C113" s="76" t="str">
        <f t="shared" si="3"/>
        <v/>
      </c>
      <c r="D113" s="74"/>
      <c r="E113" s="75"/>
      <c r="F113" s="76" t="str">
        <f t="shared" si="4"/>
        <v/>
      </c>
      <c r="G113" s="74"/>
      <c r="H113" s="75"/>
      <c r="I113" s="76" t="str">
        <f t="shared" si="5"/>
        <v/>
      </c>
    </row>
    <row r="114" spans="1:9" s="76" customFormat="1">
      <c r="A114" s="74"/>
      <c r="B114" s="75"/>
      <c r="C114" s="76" t="str">
        <f t="shared" si="3"/>
        <v/>
      </c>
      <c r="D114" s="74"/>
      <c r="E114" s="75"/>
      <c r="F114" s="76" t="str">
        <f t="shared" si="4"/>
        <v/>
      </c>
      <c r="G114" s="74"/>
      <c r="H114" s="75"/>
      <c r="I114" s="76" t="str">
        <f t="shared" si="5"/>
        <v/>
      </c>
    </row>
    <row r="115" spans="1:9" s="76" customFormat="1">
      <c r="A115" s="74"/>
      <c r="B115" s="75"/>
      <c r="C115" s="76" t="str">
        <f t="shared" si="3"/>
        <v/>
      </c>
      <c r="D115" s="74"/>
      <c r="E115" s="75"/>
      <c r="F115" s="76" t="str">
        <f t="shared" si="4"/>
        <v/>
      </c>
      <c r="G115" s="74"/>
      <c r="H115" s="75"/>
      <c r="I115" s="76" t="str">
        <f t="shared" si="5"/>
        <v/>
      </c>
    </row>
    <row r="116" spans="1:9" s="76" customFormat="1">
      <c r="A116" s="74"/>
      <c r="B116" s="75"/>
      <c r="C116" s="76" t="str">
        <f t="shared" si="3"/>
        <v/>
      </c>
      <c r="D116" s="74"/>
      <c r="E116" s="75"/>
      <c r="F116" s="76" t="str">
        <f t="shared" si="4"/>
        <v/>
      </c>
      <c r="G116" s="74"/>
      <c r="H116" s="75"/>
      <c r="I116" s="76" t="str">
        <f t="shared" si="5"/>
        <v/>
      </c>
    </row>
    <row r="117" spans="1:9" s="76" customFormat="1">
      <c r="A117" s="74"/>
      <c r="B117" s="75"/>
      <c r="C117" s="76" t="str">
        <f t="shared" si="3"/>
        <v/>
      </c>
      <c r="D117" s="74"/>
      <c r="E117" s="75"/>
      <c r="F117" s="76" t="str">
        <f t="shared" si="4"/>
        <v/>
      </c>
      <c r="G117" s="74"/>
      <c r="H117" s="75"/>
      <c r="I117" s="76" t="str">
        <f t="shared" si="5"/>
        <v/>
      </c>
    </row>
    <row r="118" spans="1:9" s="76" customFormat="1">
      <c r="A118" s="74"/>
      <c r="B118" s="75"/>
      <c r="C118" s="76" t="str">
        <f t="shared" si="3"/>
        <v/>
      </c>
      <c r="D118" s="74"/>
      <c r="E118" s="75"/>
      <c r="F118" s="76" t="str">
        <f t="shared" si="4"/>
        <v/>
      </c>
      <c r="G118" s="74"/>
      <c r="H118" s="75"/>
      <c r="I118" s="76" t="str">
        <f t="shared" si="5"/>
        <v/>
      </c>
    </row>
    <row r="119" spans="1:9" s="76" customFormat="1">
      <c r="A119" s="74"/>
      <c r="B119" s="75"/>
      <c r="C119" s="76" t="str">
        <f t="shared" si="3"/>
        <v/>
      </c>
      <c r="D119" s="74"/>
      <c r="E119" s="75"/>
      <c r="F119" s="76" t="str">
        <f t="shared" si="4"/>
        <v/>
      </c>
      <c r="G119" s="74"/>
      <c r="H119" s="75"/>
      <c r="I119" s="76" t="str">
        <f t="shared" si="5"/>
        <v/>
      </c>
    </row>
    <row r="120" spans="1:9" s="76" customFormat="1">
      <c r="A120" s="74"/>
      <c r="B120" s="75"/>
      <c r="C120" s="76" t="str">
        <f t="shared" si="3"/>
        <v/>
      </c>
      <c r="D120" s="74"/>
      <c r="E120" s="75"/>
      <c r="F120" s="76" t="str">
        <f t="shared" si="4"/>
        <v/>
      </c>
      <c r="G120" s="74"/>
      <c r="H120" s="75"/>
      <c r="I120" s="76" t="str">
        <f t="shared" si="5"/>
        <v/>
      </c>
    </row>
    <row r="121" spans="1:9" s="76" customFormat="1">
      <c r="A121" s="74"/>
      <c r="B121" s="75"/>
      <c r="C121" s="76" t="str">
        <f t="shared" si="3"/>
        <v/>
      </c>
      <c r="D121" s="74"/>
      <c r="E121" s="75"/>
      <c r="F121" s="76" t="str">
        <f t="shared" si="4"/>
        <v/>
      </c>
      <c r="G121" s="74"/>
      <c r="H121" s="75"/>
      <c r="I121" s="76" t="str">
        <f t="shared" si="5"/>
        <v/>
      </c>
    </row>
    <row r="122" spans="1:9" s="76" customFormat="1">
      <c r="A122" s="74"/>
      <c r="B122" s="75"/>
      <c r="C122" s="76" t="str">
        <f t="shared" si="3"/>
        <v/>
      </c>
      <c r="D122" s="74"/>
      <c r="E122" s="75"/>
      <c r="F122" s="76" t="str">
        <f t="shared" si="4"/>
        <v/>
      </c>
      <c r="G122" s="74"/>
      <c r="H122" s="75"/>
      <c r="I122" s="76" t="str">
        <f t="shared" si="5"/>
        <v/>
      </c>
    </row>
    <row r="123" spans="1:9" s="76" customFormat="1">
      <c r="A123" s="74"/>
      <c r="B123" s="75"/>
      <c r="C123" s="76" t="str">
        <f t="shared" si="3"/>
        <v/>
      </c>
      <c r="D123" s="74"/>
      <c r="E123" s="75"/>
      <c r="F123" s="76" t="str">
        <f t="shared" si="4"/>
        <v/>
      </c>
      <c r="G123" s="74"/>
      <c r="H123" s="75"/>
      <c r="I123" s="76" t="str">
        <f t="shared" si="5"/>
        <v/>
      </c>
    </row>
    <row r="124" spans="1:9" s="76" customFormat="1">
      <c r="A124" s="74"/>
      <c r="B124" s="75"/>
      <c r="C124" s="76" t="str">
        <f t="shared" si="3"/>
        <v/>
      </c>
      <c r="D124" s="74"/>
      <c r="E124" s="75"/>
      <c r="F124" s="76" t="str">
        <f t="shared" si="4"/>
        <v/>
      </c>
      <c r="G124" s="74"/>
      <c r="H124" s="75"/>
      <c r="I124" s="76" t="str">
        <f t="shared" si="5"/>
        <v/>
      </c>
    </row>
    <row r="125" spans="1:9" s="76" customFormat="1">
      <c r="A125" s="74"/>
      <c r="B125" s="75"/>
      <c r="C125" s="76" t="str">
        <f t="shared" si="3"/>
        <v/>
      </c>
      <c r="D125" s="74"/>
      <c r="E125" s="75"/>
      <c r="F125" s="76" t="str">
        <f t="shared" si="4"/>
        <v/>
      </c>
      <c r="G125" s="74"/>
      <c r="H125" s="75"/>
      <c r="I125" s="76" t="str">
        <f t="shared" si="5"/>
        <v/>
      </c>
    </row>
    <row r="126" spans="1:9" s="76" customFormat="1">
      <c r="A126" s="74"/>
      <c r="B126" s="75"/>
      <c r="C126" s="76" t="str">
        <f t="shared" si="3"/>
        <v/>
      </c>
      <c r="D126" s="74"/>
      <c r="E126" s="75"/>
      <c r="F126" s="76" t="str">
        <f t="shared" si="4"/>
        <v/>
      </c>
      <c r="G126" s="74"/>
      <c r="H126" s="75"/>
      <c r="I126" s="76" t="str">
        <f t="shared" si="5"/>
        <v/>
      </c>
    </row>
    <row r="127" spans="1:9" s="76" customFormat="1">
      <c r="A127" s="74"/>
      <c r="B127" s="75"/>
      <c r="C127" s="76" t="str">
        <f t="shared" si="3"/>
        <v/>
      </c>
      <c r="D127" s="74"/>
      <c r="E127" s="75"/>
      <c r="F127" s="76" t="str">
        <f t="shared" si="4"/>
        <v/>
      </c>
      <c r="G127" s="74"/>
      <c r="H127" s="75"/>
      <c r="I127" s="76" t="str">
        <f t="shared" si="5"/>
        <v/>
      </c>
    </row>
    <row r="128" spans="1:9" s="76" customFormat="1">
      <c r="A128" s="74"/>
      <c r="B128" s="75"/>
      <c r="C128" s="76" t="str">
        <f t="shared" si="3"/>
        <v/>
      </c>
      <c r="D128" s="74"/>
      <c r="E128" s="75"/>
      <c r="F128" s="76" t="str">
        <f t="shared" si="4"/>
        <v/>
      </c>
      <c r="G128" s="74"/>
      <c r="H128" s="75"/>
      <c r="I128" s="76" t="str">
        <f t="shared" si="5"/>
        <v/>
      </c>
    </row>
    <row r="129" spans="1:9" s="76" customFormat="1">
      <c r="A129" s="74"/>
      <c r="B129" s="75"/>
      <c r="C129" s="76" t="str">
        <f t="shared" si="3"/>
        <v/>
      </c>
      <c r="D129" s="74"/>
      <c r="E129" s="75"/>
      <c r="F129" s="76" t="str">
        <f t="shared" si="4"/>
        <v/>
      </c>
      <c r="G129" s="74"/>
      <c r="H129" s="75"/>
      <c r="I129" s="76" t="str">
        <f t="shared" si="5"/>
        <v/>
      </c>
    </row>
    <row r="130" spans="1:9" s="76" customFormat="1">
      <c r="A130" s="74"/>
      <c r="B130" s="75"/>
      <c r="C130" s="76" t="str">
        <f t="shared" si="3"/>
        <v/>
      </c>
      <c r="D130" s="74"/>
      <c r="E130" s="75"/>
      <c r="F130" s="76" t="str">
        <f t="shared" si="4"/>
        <v/>
      </c>
      <c r="G130" s="74"/>
      <c r="H130" s="75"/>
      <c r="I130" s="76" t="str">
        <f t="shared" si="5"/>
        <v/>
      </c>
    </row>
    <row r="131" spans="1:9" s="76" customFormat="1">
      <c r="A131" s="74"/>
      <c r="B131" s="75"/>
      <c r="C131" s="76" t="str">
        <f t="shared" si="3"/>
        <v/>
      </c>
      <c r="D131" s="74"/>
      <c r="E131" s="75"/>
      <c r="F131" s="76" t="str">
        <f t="shared" si="4"/>
        <v/>
      </c>
      <c r="G131" s="74"/>
      <c r="H131" s="75"/>
      <c r="I131" s="76" t="str">
        <f t="shared" si="5"/>
        <v/>
      </c>
    </row>
    <row r="132" spans="1:9" s="76" customFormat="1">
      <c r="A132" s="74"/>
      <c r="B132" s="75"/>
      <c r="C132" s="76" t="str">
        <f t="shared" si="3"/>
        <v/>
      </c>
      <c r="D132" s="74"/>
      <c r="E132" s="75"/>
      <c r="F132" s="76" t="str">
        <f t="shared" si="4"/>
        <v/>
      </c>
      <c r="G132" s="74"/>
      <c r="H132" s="75"/>
      <c r="I132" s="76" t="str">
        <f t="shared" si="5"/>
        <v/>
      </c>
    </row>
    <row r="133" spans="1:9" s="76" customFormat="1">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c r="A134" s="74"/>
      <c r="B134" s="75"/>
      <c r="C134" s="76" t="str">
        <f t="shared" si="6"/>
        <v/>
      </c>
      <c r="D134" s="74"/>
      <c r="E134" s="75"/>
      <c r="F134" s="76" t="str">
        <f t="shared" si="7"/>
        <v/>
      </c>
      <c r="G134" s="74"/>
      <c r="H134" s="75"/>
      <c r="I134" s="76" t="str">
        <f t="shared" si="8"/>
        <v/>
      </c>
    </row>
    <row r="135" spans="1:9" s="76" customFormat="1">
      <c r="A135" s="74"/>
      <c r="B135" s="75"/>
      <c r="C135" s="76" t="str">
        <f t="shared" si="6"/>
        <v/>
      </c>
      <c r="D135" s="74"/>
      <c r="E135" s="75"/>
      <c r="F135" s="76" t="str">
        <f t="shared" si="7"/>
        <v/>
      </c>
      <c r="G135" s="74"/>
      <c r="H135" s="75"/>
      <c r="I135" s="76" t="str">
        <f t="shared" si="8"/>
        <v/>
      </c>
    </row>
    <row r="136" spans="1:9" s="76" customFormat="1">
      <c r="A136" s="74"/>
      <c r="B136" s="75"/>
      <c r="C136" s="76" t="str">
        <f t="shared" si="6"/>
        <v/>
      </c>
      <c r="D136" s="74"/>
      <c r="E136" s="75"/>
      <c r="F136" s="76" t="str">
        <f t="shared" si="7"/>
        <v/>
      </c>
      <c r="G136" s="74"/>
      <c r="H136" s="75"/>
      <c r="I136" s="76" t="str">
        <f t="shared" si="8"/>
        <v/>
      </c>
    </row>
    <row r="137" spans="1:9" s="76" customFormat="1">
      <c r="A137" s="74"/>
      <c r="B137" s="75"/>
      <c r="C137" s="76" t="str">
        <f t="shared" si="6"/>
        <v/>
      </c>
      <c r="D137" s="74"/>
      <c r="E137" s="75"/>
      <c r="F137" s="76" t="str">
        <f t="shared" si="7"/>
        <v/>
      </c>
      <c r="G137" s="74"/>
      <c r="H137" s="75"/>
      <c r="I137" s="76" t="str">
        <f t="shared" si="8"/>
        <v/>
      </c>
    </row>
    <row r="138" spans="1:9" s="76" customFormat="1">
      <c r="A138" s="74"/>
      <c r="B138" s="75"/>
      <c r="C138" s="76" t="str">
        <f t="shared" si="6"/>
        <v/>
      </c>
      <c r="D138" s="74"/>
      <c r="E138" s="75"/>
      <c r="F138" s="76" t="str">
        <f t="shared" si="7"/>
        <v/>
      </c>
      <c r="G138" s="74"/>
      <c r="H138" s="75"/>
      <c r="I138" s="76" t="str">
        <f t="shared" si="8"/>
        <v/>
      </c>
    </row>
    <row r="139" spans="1:9" s="76" customFormat="1">
      <c r="A139" s="74"/>
      <c r="B139" s="75"/>
      <c r="C139" s="76" t="str">
        <f t="shared" si="6"/>
        <v/>
      </c>
      <c r="D139" s="74"/>
      <c r="E139" s="75"/>
      <c r="F139" s="76" t="str">
        <f t="shared" si="7"/>
        <v/>
      </c>
      <c r="G139" s="74"/>
      <c r="H139" s="75"/>
      <c r="I139" s="76" t="str">
        <f t="shared" si="8"/>
        <v/>
      </c>
    </row>
    <row r="140" spans="1:9" s="76" customFormat="1">
      <c r="A140" s="74"/>
      <c r="B140" s="75"/>
      <c r="C140" s="76" t="str">
        <f t="shared" si="6"/>
        <v/>
      </c>
      <c r="D140" s="74"/>
      <c r="E140" s="75"/>
      <c r="F140" s="76" t="str">
        <f t="shared" si="7"/>
        <v/>
      </c>
      <c r="G140" s="74"/>
      <c r="H140" s="75"/>
      <c r="I140" s="76" t="str">
        <f t="shared" si="8"/>
        <v/>
      </c>
    </row>
    <row r="141" spans="1:9" s="76" customFormat="1">
      <c r="A141" s="74"/>
      <c r="B141" s="75"/>
      <c r="C141" s="76" t="str">
        <f t="shared" si="6"/>
        <v/>
      </c>
      <c r="D141" s="74"/>
      <c r="E141" s="75"/>
      <c r="F141" s="76" t="str">
        <f t="shared" si="7"/>
        <v/>
      </c>
      <c r="G141" s="74"/>
      <c r="H141" s="75"/>
      <c r="I141" s="76" t="str">
        <f t="shared" si="8"/>
        <v/>
      </c>
    </row>
    <row r="142" spans="1:9" s="76" customFormat="1">
      <c r="A142" s="74"/>
      <c r="B142" s="75"/>
      <c r="C142" s="76" t="str">
        <f t="shared" si="6"/>
        <v/>
      </c>
      <c r="D142" s="74"/>
      <c r="E142" s="75"/>
      <c r="F142" s="76" t="str">
        <f t="shared" si="7"/>
        <v/>
      </c>
      <c r="G142" s="74"/>
      <c r="H142" s="75"/>
      <c r="I142" s="76" t="str">
        <f t="shared" si="8"/>
        <v/>
      </c>
    </row>
    <row r="143" spans="1:9" s="76" customFormat="1">
      <c r="A143" s="74"/>
      <c r="B143" s="75"/>
      <c r="C143" s="76" t="str">
        <f t="shared" si="6"/>
        <v/>
      </c>
      <c r="D143" s="74"/>
      <c r="E143" s="75"/>
      <c r="F143" s="76" t="str">
        <f t="shared" si="7"/>
        <v/>
      </c>
      <c r="G143" s="74"/>
      <c r="H143" s="75"/>
      <c r="I143" s="76" t="str">
        <f t="shared" si="8"/>
        <v/>
      </c>
    </row>
    <row r="144" spans="1:9" s="76" customFormat="1">
      <c r="A144" s="74"/>
      <c r="B144" s="75"/>
      <c r="C144" s="76" t="str">
        <f t="shared" si="6"/>
        <v/>
      </c>
      <c r="D144" s="74"/>
      <c r="E144" s="75"/>
      <c r="F144" s="76" t="str">
        <f t="shared" si="7"/>
        <v/>
      </c>
      <c r="G144" s="74"/>
      <c r="H144" s="75"/>
      <c r="I144" s="76" t="str">
        <f t="shared" si="8"/>
        <v/>
      </c>
    </row>
    <row r="145" spans="1:9" s="76" customFormat="1">
      <c r="A145" s="74"/>
      <c r="B145" s="75"/>
      <c r="C145" s="76" t="str">
        <f t="shared" si="6"/>
        <v/>
      </c>
      <c r="D145" s="74"/>
      <c r="E145" s="75"/>
      <c r="F145" s="76" t="str">
        <f t="shared" si="7"/>
        <v/>
      </c>
      <c r="G145" s="74"/>
      <c r="H145" s="75"/>
      <c r="I145" s="76" t="str">
        <f t="shared" si="8"/>
        <v/>
      </c>
    </row>
    <row r="146" spans="1:9" s="76" customFormat="1">
      <c r="A146" s="74"/>
      <c r="B146" s="75"/>
      <c r="C146" s="76" t="str">
        <f t="shared" si="6"/>
        <v/>
      </c>
      <c r="D146" s="74"/>
      <c r="E146" s="75"/>
      <c r="F146" s="76" t="str">
        <f t="shared" si="7"/>
        <v/>
      </c>
      <c r="G146" s="74"/>
      <c r="H146" s="75"/>
      <c r="I146" s="76" t="str">
        <f t="shared" si="8"/>
        <v/>
      </c>
    </row>
    <row r="147" spans="1:9" s="76" customFormat="1">
      <c r="A147" s="74"/>
      <c r="B147" s="75"/>
      <c r="C147" s="76" t="str">
        <f t="shared" si="6"/>
        <v/>
      </c>
      <c r="D147" s="74"/>
      <c r="E147" s="75"/>
      <c r="F147" s="76" t="str">
        <f t="shared" si="7"/>
        <v/>
      </c>
      <c r="G147" s="74"/>
      <c r="H147" s="75"/>
      <c r="I147" s="76" t="str">
        <f t="shared" si="8"/>
        <v/>
      </c>
    </row>
    <row r="148" spans="1:9" s="76" customFormat="1">
      <c r="A148" s="74"/>
      <c r="B148" s="75"/>
      <c r="C148" s="76" t="str">
        <f t="shared" si="6"/>
        <v/>
      </c>
      <c r="D148" s="74"/>
      <c r="E148" s="75"/>
      <c r="F148" s="76" t="str">
        <f t="shared" si="7"/>
        <v/>
      </c>
      <c r="G148" s="74"/>
      <c r="H148" s="75"/>
      <c r="I148" s="76" t="str">
        <f t="shared" si="8"/>
        <v/>
      </c>
    </row>
    <row r="149" spans="1:9" s="76" customFormat="1">
      <c r="A149" s="74"/>
      <c r="B149" s="75"/>
      <c r="C149" s="76" t="str">
        <f t="shared" si="6"/>
        <v/>
      </c>
      <c r="D149" s="74"/>
      <c r="E149" s="75"/>
      <c r="F149" s="76" t="str">
        <f t="shared" si="7"/>
        <v/>
      </c>
      <c r="G149" s="74"/>
      <c r="H149" s="75"/>
      <c r="I149" s="76" t="str">
        <f t="shared" si="8"/>
        <v/>
      </c>
    </row>
    <row r="150" spans="1:9" s="76" customFormat="1">
      <c r="A150" s="74"/>
      <c r="B150" s="75"/>
      <c r="C150" s="76" t="str">
        <f t="shared" si="6"/>
        <v/>
      </c>
      <c r="D150" s="74"/>
      <c r="E150" s="75"/>
      <c r="F150" s="76" t="str">
        <f t="shared" si="7"/>
        <v/>
      </c>
      <c r="G150" s="74"/>
      <c r="H150" s="75"/>
      <c r="I150" s="76" t="str">
        <f t="shared" si="8"/>
        <v/>
      </c>
    </row>
    <row r="151" spans="1:9" s="76" customFormat="1">
      <c r="A151" s="74"/>
      <c r="B151" s="75"/>
      <c r="C151" s="76" t="str">
        <f t="shared" si="6"/>
        <v/>
      </c>
      <c r="D151" s="74"/>
      <c r="E151" s="75"/>
      <c r="F151" s="76" t="str">
        <f t="shared" si="7"/>
        <v/>
      </c>
      <c r="G151" s="74"/>
      <c r="H151" s="75"/>
      <c r="I151" s="76" t="str">
        <f t="shared" si="8"/>
        <v/>
      </c>
    </row>
    <row r="152" spans="1:9" s="76" customFormat="1">
      <c r="A152" s="74"/>
      <c r="B152" s="75"/>
      <c r="C152" s="76" t="str">
        <f t="shared" si="6"/>
        <v/>
      </c>
      <c r="D152" s="74"/>
      <c r="E152" s="75"/>
      <c r="F152" s="76" t="str">
        <f t="shared" si="7"/>
        <v/>
      </c>
      <c r="G152" s="74"/>
      <c r="H152" s="75"/>
      <c r="I152" s="76" t="str">
        <f t="shared" si="8"/>
        <v/>
      </c>
    </row>
    <row r="153" spans="1:9" s="76" customFormat="1">
      <c r="A153" s="74"/>
      <c r="B153" s="75"/>
      <c r="C153" s="76" t="str">
        <f t="shared" si="6"/>
        <v/>
      </c>
      <c r="D153" s="74"/>
      <c r="E153" s="75"/>
      <c r="F153" s="76" t="str">
        <f t="shared" si="7"/>
        <v/>
      </c>
      <c r="G153" s="74"/>
      <c r="H153" s="75"/>
      <c r="I153" s="76" t="str">
        <f t="shared" si="8"/>
        <v/>
      </c>
    </row>
    <row r="154" spans="1:9" s="76" customFormat="1">
      <c r="A154" s="74"/>
      <c r="B154" s="75"/>
      <c r="C154" s="76" t="str">
        <f t="shared" si="6"/>
        <v/>
      </c>
      <c r="D154" s="74"/>
      <c r="E154" s="75"/>
      <c r="F154" s="76" t="str">
        <f t="shared" si="7"/>
        <v/>
      </c>
      <c r="G154" s="74"/>
      <c r="H154" s="75"/>
      <c r="I154" s="76" t="str">
        <f t="shared" si="8"/>
        <v/>
      </c>
    </row>
    <row r="155" spans="1:9" s="76" customFormat="1">
      <c r="A155" s="74"/>
      <c r="B155" s="75"/>
      <c r="C155" s="76" t="str">
        <f t="shared" si="6"/>
        <v/>
      </c>
      <c r="D155" s="74"/>
      <c r="E155" s="75"/>
      <c r="F155" s="76" t="str">
        <f t="shared" si="7"/>
        <v/>
      </c>
      <c r="G155" s="74"/>
      <c r="H155" s="75"/>
      <c r="I155" s="76" t="str">
        <f t="shared" si="8"/>
        <v/>
      </c>
    </row>
    <row r="156" spans="1:9" s="76" customFormat="1">
      <c r="A156" s="74"/>
      <c r="B156" s="75"/>
      <c r="C156" s="76" t="str">
        <f t="shared" si="6"/>
        <v/>
      </c>
      <c r="D156" s="74"/>
      <c r="E156" s="75"/>
      <c r="F156" s="76" t="str">
        <f t="shared" si="7"/>
        <v/>
      </c>
      <c r="G156" s="74"/>
      <c r="H156" s="75"/>
      <c r="I156" s="76" t="str">
        <f t="shared" si="8"/>
        <v/>
      </c>
    </row>
    <row r="157" spans="1:9" s="76" customFormat="1">
      <c r="A157" s="74"/>
      <c r="B157" s="75"/>
      <c r="C157" s="76" t="str">
        <f t="shared" si="6"/>
        <v/>
      </c>
      <c r="D157" s="74"/>
      <c r="E157" s="75"/>
      <c r="F157" s="76" t="str">
        <f t="shared" si="7"/>
        <v/>
      </c>
      <c r="G157" s="74"/>
      <c r="H157" s="75"/>
      <c r="I157" s="76" t="str">
        <f t="shared" si="8"/>
        <v/>
      </c>
    </row>
    <row r="158" spans="1:9" s="76" customFormat="1">
      <c r="A158" s="74"/>
      <c r="B158" s="75"/>
      <c r="C158" s="76" t="str">
        <f t="shared" si="6"/>
        <v/>
      </c>
      <c r="D158" s="74"/>
      <c r="E158" s="75"/>
      <c r="F158" s="76" t="str">
        <f t="shared" si="7"/>
        <v/>
      </c>
      <c r="G158" s="74"/>
      <c r="H158" s="75"/>
      <c r="I158" s="76" t="str">
        <f t="shared" si="8"/>
        <v/>
      </c>
    </row>
    <row r="159" spans="1:9" s="76" customFormat="1">
      <c r="A159" s="74"/>
      <c r="B159" s="75"/>
      <c r="C159" s="76" t="str">
        <f t="shared" si="6"/>
        <v/>
      </c>
      <c r="D159" s="74"/>
      <c r="E159" s="75"/>
      <c r="F159" s="76" t="str">
        <f t="shared" si="7"/>
        <v/>
      </c>
      <c r="G159" s="74"/>
      <c r="H159" s="75"/>
      <c r="I159" s="76" t="str">
        <f t="shared" si="8"/>
        <v/>
      </c>
    </row>
    <row r="160" spans="1:9" s="76" customFormat="1">
      <c r="A160" s="74"/>
      <c r="B160" s="75"/>
      <c r="C160" s="76" t="str">
        <f t="shared" si="6"/>
        <v/>
      </c>
      <c r="D160" s="74"/>
      <c r="E160" s="75"/>
      <c r="F160" s="76" t="str">
        <f t="shared" si="7"/>
        <v/>
      </c>
      <c r="G160" s="74"/>
      <c r="H160" s="75"/>
      <c r="I160" s="76" t="str">
        <f t="shared" si="8"/>
        <v/>
      </c>
    </row>
    <row r="161" spans="1:9" s="76" customFormat="1">
      <c r="A161" s="74"/>
      <c r="B161" s="75"/>
      <c r="C161" s="76" t="str">
        <f t="shared" si="6"/>
        <v/>
      </c>
      <c r="D161" s="74"/>
      <c r="E161" s="75"/>
      <c r="F161" s="76" t="str">
        <f t="shared" si="7"/>
        <v/>
      </c>
      <c r="G161" s="74"/>
      <c r="H161" s="75"/>
      <c r="I161" s="76" t="str">
        <f t="shared" si="8"/>
        <v/>
      </c>
    </row>
    <row r="162" spans="1:9" s="76" customFormat="1">
      <c r="A162" s="74"/>
      <c r="B162" s="75"/>
      <c r="C162" s="76" t="str">
        <f t="shared" si="6"/>
        <v/>
      </c>
      <c r="D162" s="74"/>
      <c r="E162" s="75"/>
      <c r="F162" s="76" t="str">
        <f t="shared" si="7"/>
        <v/>
      </c>
      <c r="G162" s="74"/>
      <c r="H162" s="75"/>
      <c r="I162" s="76" t="str">
        <f t="shared" si="8"/>
        <v/>
      </c>
    </row>
    <row r="163" spans="1:9" s="76" customFormat="1">
      <c r="A163" s="74"/>
      <c r="B163" s="75"/>
      <c r="C163" s="76" t="str">
        <f t="shared" si="6"/>
        <v/>
      </c>
      <c r="D163" s="74"/>
      <c r="E163" s="75"/>
      <c r="F163" s="76" t="str">
        <f t="shared" si="7"/>
        <v/>
      </c>
      <c r="G163" s="74"/>
      <c r="H163" s="75"/>
      <c r="I163" s="76" t="str">
        <f t="shared" si="8"/>
        <v/>
      </c>
    </row>
    <row r="164" spans="1:9" s="76" customFormat="1">
      <c r="A164" s="74"/>
      <c r="B164" s="75"/>
      <c r="C164" s="76" t="str">
        <f t="shared" si="6"/>
        <v/>
      </c>
      <c r="D164" s="74"/>
      <c r="E164" s="75"/>
      <c r="F164" s="76" t="str">
        <f t="shared" si="7"/>
        <v/>
      </c>
      <c r="G164" s="74"/>
      <c r="H164" s="75"/>
      <c r="I164" s="76" t="str">
        <f t="shared" si="8"/>
        <v/>
      </c>
    </row>
    <row r="165" spans="1:9" s="76" customFormat="1">
      <c r="A165" s="74"/>
      <c r="B165" s="75"/>
      <c r="C165" s="76" t="str">
        <f t="shared" si="6"/>
        <v/>
      </c>
      <c r="D165" s="74"/>
      <c r="E165" s="75"/>
      <c r="F165" s="76" t="str">
        <f t="shared" si="7"/>
        <v/>
      </c>
      <c r="G165" s="74"/>
      <c r="H165" s="75"/>
      <c r="I165" s="76" t="str">
        <f t="shared" si="8"/>
        <v/>
      </c>
    </row>
    <row r="166" spans="1:9" s="76" customFormat="1">
      <c r="A166" s="74"/>
      <c r="B166" s="75"/>
      <c r="C166" s="76" t="str">
        <f t="shared" si="6"/>
        <v/>
      </c>
      <c r="D166" s="74"/>
      <c r="E166" s="75"/>
      <c r="F166" s="76" t="str">
        <f t="shared" si="7"/>
        <v/>
      </c>
      <c r="G166" s="74"/>
      <c r="H166" s="75"/>
      <c r="I166" s="76" t="str">
        <f t="shared" si="8"/>
        <v/>
      </c>
    </row>
    <row r="167" spans="1:9" s="76" customFormat="1">
      <c r="A167" s="74"/>
      <c r="B167" s="75"/>
      <c r="C167" s="76" t="str">
        <f t="shared" si="6"/>
        <v/>
      </c>
      <c r="D167" s="74"/>
      <c r="E167" s="75"/>
      <c r="F167" s="76" t="str">
        <f t="shared" si="7"/>
        <v/>
      </c>
      <c r="G167" s="74"/>
      <c r="H167" s="75"/>
      <c r="I167" s="76" t="str">
        <f t="shared" si="8"/>
        <v/>
      </c>
    </row>
    <row r="168" spans="1:9" s="76" customFormat="1">
      <c r="A168" s="74"/>
      <c r="B168" s="75"/>
      <c r="C168" s="76" t="str">
        <f t="shared" si="6"/>
        <v/>
      </c>
      <c r="D168" s="74"/>
      <c r="E168" s="75"/>
      <c r="F168" s="76" t="str">
        <f t="shared" si="7"/>
        <v/>
      </c>
      <c r="G168" s="74"/>
      <c r="H168" s="75"/>
      <c r="I168" s="76" t="str">
        <f t="shared" si="8"/>
        <v/>
      </c>
    </row>
    <row r="169" spans="1:9" s="76" customFormat="1">
      <c r="A169" s="74"/>
      <c r="B169" s="75"/>
      <c r="C169" s="76" t="str">
        <f t="shared" si="6"/>
        <v/>
      </c>
      <c r="D169" s="74"/>
      <c r="E169" s="75"/>
      <c r="F169" s="76" t="str">
        <f t="shared" si="7"/>
        <v/>
      </c>
      <c r="G169" s="74"/>
      <c r="H169" s="75"/>
      <c r="I169" s="76" t="str">
        <f t="shared" si="8"/>
        <v/>
      </c>
    </row>
    <row r="170" spans="1:9" s="76" customFormat="1">
      <c r="A170" s="74"/>
      <c r="B170" s="75"/>
      <c r="C170" s="76" t="str">
        <f t="shared" si="6"/>
        <v/>
      </c>
      <c r="D170" s="74"/>
      <c r="E170" s="75"/>
      <c r="F170" s="76" t="str">
        <f t="shared" si="7"/>
        <v/>
      </c>
      <c r="G170" s="74"/>
      <c r="H170" s="75"/>
      <c r="I170" s="76" t="str">
        <f t="shared" si="8"/>
        <v/>
      </c>
    </row>
    <row r="171" spans="1:9" s="76" customFormat="1">
      <c r="A171" s="74"/>
      <c r="B171" s="75"/>
      <c r="C171" s="76" t="str">
        <f t="shared" si="6"/>
        <v/>
      </c>
      <c r="D171" s="74"/>
      <c r="E171" s="75"/>
      <c r="F171" s="76" t="str">
        <f t="shared" si="7"/>
        <v/>
      </c>
      <c r="G171" s="74"/>
      <c r="H171" s="75"/>
      <c r="I171" s="76" t="str">
        <f t="shared" si="8"/>
        <v/>
      </c>
    </row>
    <row r="172" spans="1:9" s="76" customFormat="1">
      <c r="A172" s="74"/>
      <c r="B172" s="75"/>
      <c r="C172" s="76" t="str">
        <f t="shared" si="6"/>
        <v/>
      </c>
      <c r="D172" s="74"/>
      <c r="E172" s="75"/>
      <c r="F172" s="76" t="str">
        <f t="shared" si="7"/>
        <v/>
      </c>
      <c r="G172" s="74"/>
      <c r="H172" s="75"/>
      <c r="I172" s="76" t="str">
        <f t="shared" si="8"/>
        <v/>
      </c>
    </row>
    <row r="173" spans="1:9" s="76" customFormat="1">
      <c r="A173" s="74"/>
      <c r="B173" s="75"/>
      <c r="C173" s="76" t="str">
        <f t="shared" si="6"/>
        <v/>
      </c>
      <c r="D173" s="74"/>
      <c r="E173" s="75"/>
      <c r="F173" s="76" t="str">
        <f t="shared" si="7"/>
        <v/>
      </c>
      <c r="G173" s="74"/>
      <c r="H173" s="75"/>
      <c r="I173" s="76" t="str">
        <f t="shared" si="8"/>
        <v/>
      </c>
    </row>
    <row r="174" spans="1:9" s="76" customFormat="1">
      <c r="A174" s="74"/>
      <c r="B174" s="75"/>
      <c r="C174" s="76" t="str">
        <f t="shared" si="6"/>
        <v/>
      </c>
      <c r="D174" s="74"/>
      <c r="E174" s="75"/>
      <c r="F174" s="76" t="str">
        <f t="shared" si="7"/>
        <v/>
      </c>
      <c r="G174" s="74"/>
      <c r="H174" s="75"/>
      <c r="I174" s="76" t="str">
        <f t="shared" si="8"/>
        <v/>
      </c>
    </row>
    <row r="175" spans="1:9" s="76" customFormat="1">
      <c r="A175" s="74"/>
      <c r="B175" s="75"/>
      <c r="C175" s="76" t="str">
        <f t="shared" si="6"/>
        <v/>
      </c>
      <c r="D175" s="74"/>
      <c r="E175" s="75"/>
      <c r="F175" s="76" t="str">
        <f t="shared" si="7"/>
        <v/>
      </c>
      <c r="G175" s="74"/>
      <c r="H175" s="75"/>
      <c r="I175" s="76" t="str">
        <f t="shared" si="8"/>
        <v/>
      </c>
    </row>
    <row r="176" spans="1:9" s="76" customFormat="1">
      <c r="A176" s="74"/>
      <c r="B176" s="75"/>
      <c r="C176" s="76" t="str">
        <f t="shared" si="6"/>
        <v/>
      </c>
      <c r="D176" s="74"/>
      <c r="E176" s="75"/>
      <c r="F176" s="76" t="str">
        <f t="shared" si="7"/>
        <v/>
      </c>
      <c r="G176" s="74"/>
      <c r="H176" s="75"/>
      <c r="I176" s="76" t="str">
        <f t="shared" si="8"/>
        <v/>
      </c>
    </row>
    <row r="177" spans="1:9" s="76" customFormat="1">
      <c r="A177" s="74"/>
      <c r="B177" s="75"/>
      <c r="C177" s="76" t="str">
        <f t="shared" si="6"/>
        <v/>
      </c>
      <c r="D177" s="74"/>
      <c r="E177" s="75"/>
      <c r="F177" s="76" t="str">
        <f t="shared" si="7"/>
        <v/>
      </c>
      <c r="G177" s="74"/>
      <c r="H177" s="75"/>
      <c r="I177" s="76" t="str">
        <f t="shared" si="8"/>
        <v/>
      </c>
    </row>
    <row r="178" spans="1:9" s="76" customFormat="1">
      <c r="A178" s="74"/>
      <c r="B178" s="75"/>
      <c r="C178" s="76" t="str">
        <f t="shared" si="6"/>
        <v/>
      </c>
      <c r="D178" s="74"/>
      <c r="E178" s="75"/>
      <c r="F178" s="76" t="str">
        <f t="shared" si="7"/>
        <v/>
      </c>
      <c r="G178" s="74"/>
      <c r="H178" s="75"/>
      <c r="I178" s="76" t="str">
        <f t="shared" si="8"/>
        <v/>
      </c>
    </row>
    <row r="179" spans="1:9" s="76" customFormat="1">
      <c r="A179" s="74"/>
      <c r="B179" s="75"/>
      <c r="C179" s="76" t="str">
        <f t="shared" si="6"/>
        <v/>
      </c>
      <c r="D179" s="74"/>
      <c r="E179" s="75"/>
      <c r="F179" s="76" t="str">
        <f t="shared" si="7"/>
        <v/>
      </c>
      <c r="G179" s="74"/>
      <c r="H179" s="75"/>
      <c r="I179" s="76" t="str">
        <f t="shared" si="8"/>
        <v/>
      </c>
    </row>
    <row r="180" spans="1:9" s="76" customFormat="1">
      <c r="A180" s="74"/>
      <c r="B180" s="75"/>
      <c r="C180" s="76" t="str">
        <f t="shared" si="6"/>
        <v/>
      </c>
      <c r="D180" s="74"/>
      <c r="E180" s="75"/>
      <c r="F180" s="76" t="str">
        <f t="shared" si="7"/>
        <v/>
      </c>
      <c r="G180" s="74"/>
      <c r="H180" s="75"/>
      <c r="I180" s="76" t="str">
        <f t="shared" si="8"/>
        <v/>
      </c>
    </row>
    <row r="181" spans="1:9" s="76" customFormat="1">
      <c r="A181" s="74"/>
      <c r="B181" s="75"/>
      <c r="C181" s="76" t="str">
        <f t="shared" si="6"/>
        <v/>
      </c>
      <c r="D181" s="74"/>
      <c r="E181" s="75"/>
      <c r="F181" s="76" t="str">
        <f t="shared" si="7"/>
        <v/>
      </c>
      <c r="G181" s="74"/>
      <c r="H181" s="75"/>
      <c r="I181" s="76" t="str">
        <f t="shared" si="8"/>
        <v/>
      </c>
    </row>
    <row r="182" spans="1:9" s="76" customFormat="1">
      <c r="A182" s="74"/>
      <c r="B182" s="75"/>
      <c r="C182" s="76" t="str">
        <f t="shared" si="6"/>
        <v/>
      </c>
      <c r="D182" s="74"/>
      <c r="E182" s="75"/>
      <c r="F182" s="76" t="str">
        <f t="shared" si="7"/>
        <v/>
      </c>
      <c r="G182" s="74"/>
      <c r="H182" s="75"/>
      <c r="I182" s="76" t="str">
        <f t="shared" si="8"/>
        <v/>
      </c>
    </row>
    <row r="183" spans="1:9" s="76" customFormat="1">
      <c r="A183" s="74"/>
      <c r="B183" s="75"/>
      <c r="C183" s="76" t="str">
        <f t="shared" si="6"/>
        <v/>
      </c>
      <c r="D183" s="74"/>
      <c r="E183" s="75"/>
      <c r="F183" s="76" t="str">
        <f t="shared" si="7"/>
        <v/>
      </c>
      <c r="G183" s="74"/>
      <c r="H183" s="75"/>
      <c r="I183" s="76" t="str">
        <f t="shared" si="8"/>
        <v/>
      </c>
    </row>
    <row r="184" spans="1:9" s="76" customFormat="1">
      <c r="A184" s="74"/>
      <c r="B184" s="75"/>
      <c r="C184" s="76" t="str">
        <f t="shared" si="6"/>
        <v/>
      </c>
      <c r="D184" s="74"/>
      <c r="E184" s="75"/>
      <c r="F184" s="76" t="str">
        <f t="shared" si="7"/>
        <v/>
      </c>
      <c r="G184" s="74"/>
      <c r="H184" s="75"/>
      <c r="I184" s="76" t="str">
        <f t="shared" si="8"/>
        <v/>
      </c>
    </row>
    <row r="185" spans="1:9" s="76" customFormat="1">
      <c r="A185" s="74"/>
      <c r="B185" s="75"/>
      <c r="C185" s="76" t="str">
        <f t="shared" si="6"/>
        <v/>
      </c>
      <c r="D185" s="74"/>
      <c r="E185" s="75"/>
      <c r="F185" s="76" t="str">
        <f t="shared" si="7"/>
        <v/>
      </c>
      <c r="G185" s="74"/>
      <c r="H185" s="75"/>
      <c r="I185" s="76" t="str">
        <f t="shared" si="8"/>
        <v/>
      </c>
    </row>
    <row r="186" spans="1:9" s="76" customFormat="1">
      <c r="A186" s="74"/>
      <c r="B186" s="75"/>
      <c r="C186" s="76" t="str">
        <f t="shared" si="6"/>
        <v/>
      </c>
      <c r="D186" s="74"/>
      <c r="E186" s="75"/>
      <c r="F186" s="76" t="str">
        <f t="shared" si="7"/>
        <v/>
      </c>
      <c r="G186" s="74"/>
      <c r="H186" s="75"/>
      <c r="I186" s="76" t="str">
        <f t="shared" si="8"/>
        <v/>
      </c>
    </row>
    <row r="187" spans="1:9" s="76" customFormat="1">
      <c r="A187" s="74"/>
      <c r="B187" s="75"/>
      <c r="C187" s="76" t="str">
        <f t="shared" si="6"/>
        <v/>
      </c>
      <c r="D187" s="74"/>
      <c r="E187" s="75"/>
      <c r="F187" s="76" t="str">
        <f t="shared" si="7"/>
        <v/>
      </c>
      <c r="G187" s="74"/>
      <c r="H187" s="75"/>
      <c r="I187" s="76" t="str">
        <f t="shared" si="8"/>
        <v/>
      </c>
    </row>
    <row r="188" spans="1:9" s="76" customFormat="1">
      <c r="A188" s="74"/>
      <c r="B188" s="75"/>
      <c r="C188" s="76" t="str">
        <f t="shared" si="6"/>
        <v/>
      </c>
      <c r="D188" s="74"/>
      <c r="E188" s="75"/>
      <c r="F188" s="76" t="str">
        <f t="shared" si="7"/>
        <v/>
      </c>
      <c r="G188" s="74"/>
      <c r="H188" s="75"/>
      <c r="I188" s="76" t="str">
        <f t="shared" si="8"/>
        <v/>
      </c>
    </row>
    <row r="189" spans="1:9" s="76" customFormat="1">
      <c r="A189" s="74"/>
      <c r="B189" s="75"/>
      <c r="C189" s="76" t="str">
        <f t="shared" si="6"/>
        <v/>
      </c>
      <c r="D189" s="74"/>
      <c r="E189" s="75"/>
      <c r="F189" s="76" t="str">
        <f t="shared" si="7"/>
        <v/>
      </c>
      <c r="G189" s="74"/>
      <c r="H189" s="75"/>
      <c r="I189" s="76" t="str">
        <f t="shared" si="8"/>
        <v/>
      </c>
    </row>
    <row r="190" spans="1:9" s="76" customFormat="1">
      <c r="A190" s="74"/>
      <c r="B190" s="75"/>
      <c r="C190" s="76" t="str">
        <f t="shared" si="6"/>
        <v/>
      </c>
      <c r="D190" s="74"/>
      <c r="E190" s="75"/>
      <c r="F190" s="76" t="str">
        <f t="shared" si="7"/>
        <v/>
      </c>
      <c r="G190" s="74"/>
      <c r="H190" s="75"/>
      <c r="I190" s="76" t="str">
        <f t="shared" si="8"/>
        <v/>
      </c>
    </row>
    <row r="191" spans="1:9" s="76" customFormat="1">
      <c r="A191" s="74"/>
      <c r="B191" s="75"/>
      <c r="C191" s="76" t="str">
        <f t="shared" si="6"/>
        <v/>
      </c>
      <c r="D191" s="74"/>
      <c r="E191" s="75"/>
      <c r="F191" s="76" t="str">
        <f t="shared" si="7"/>
        <v/>
      </c>
      <c r="G191" s="74"/>
      <c r="H191" s="75"/>
      <c r="I191" s="76" t="str">
        <f t="shared" si="8"/>
        <v/>
      </c>
    </row>
    <row r="192" spans="1:9" s="76" customFormat="1">
      <c r="A192" s="74"/>
      <c r="B192" s="75"/>
      <c r="C192" s="76" t="str">
        <f t="shared" si="6"/>
        <v/>
      </c>
      <c r="D192" s="74"/>
      <c r="E192" s="75"/>
      <c r="F192" s="76" t="str">
        <f t="shared" si="7"/>
        <v/>
      </c>
      <c r="G192" s="74"/>
      <c r="H192" s="75"/>
      <c r="I192" s="76" t="str">
        <f t="shared" si="8"/>
        <v/>
      </c>
    </row>
    <row r="193" spans="1:9" s="76" customFormat="1">
      <c r="A193" s="74"/>
      <c r="B193" s="75"/>
      <c r="C193" s="76" t="str">
        <f t="shared" si="6"/>
        <v/>
      </c>
      <c r="D193" s="74"/>
      <c r="E193" s="75"/>
      <c r="F193" s="76" t="str">
        <f t="shared" si="7"/>
        <v/>
      </c>
      <c r="G193" s="74"/>
      <c r="H193" s="75"/>
      <c r="I193" s="76" t="str">
        <f t="shared" si="8"/>
        <v/>
      </c>
    </row>
    <row r="194" spans="1:9" s="76" customFormat="1">
      <c r="A194" s="74"/>
      <c r="B194" s="75"/>
      <c r="C194" s="76" t="str">
        <f t="shared" si="6"/>
        <v/>
      </c>
      <c r="D194" s="74"/>
      <c r="E194" s="75"/>
      <c r="F194" s="76" t="str">
        <f t="shared" si="7"/>
        <v/>
      </c>
      <c r="G194" s="74"/>
      <c r="H194" s="75"/>
      <c r="I194" s="76" t="str">
        <f t="shared" si="8"/>
        <v/>
      </c>
    </row>
    <row r="195" spans="1:9" s="76" customFormat="1">
      <c r="A195" s="74"/>
      <c r="B195" s="75"/>
      <c r="C195" s="76" t="str">
        <f t="shared" si="6"/>
        <v/>
      </c>
      <c r="D195" s="74"/>
      <c r="E195" s="75"/>
      <c r="F195" s="76" t="str">
        <f t="shared" si="7"/>
        <v/>
      </c>
      <c r="G195" s="74"/>
      <c r="H195" s="75"/>
      <c r="I195" s="76" t="str">
        <f t="shared" si="8"/>
        <v/>
      </c>
    </row>
    <row r="196" spans="1:9" s="76" customFormat="1">
      <c r="A196" s="74"/>
      <c r="B196" s="75"/>
      <c r="C196" s="76" t="str">
        <f t="shared" si="6"/>
        <v/>
      </c>
      <c r="D196" s="74"/>
      <c r="E196" s="75"/>
      <c r="F196" s="76" t="str">
        <f t="shared" si="7"/>
        <v/>
      </c>
      <c r="G196" s="74"/>
      <c r="H196" s="75"/>
      <c r="I196" s="76" t="str">
        <f t="shared" si="8"/>
        <v/>
      </c>
    </row>
    <row r="197" spans="1:9" s="76" customFormat="1">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c r="A198" s="74"/>
      <c r="B198" s="75"/>
      <c r="C198" s="76" t="str">
        <f t="shared" si="9"/>
        <v/>
      </c>
      <c r="D198" s="74"/>
      <c r="E198" s="75"/>
      <c r="F198" s="76" t="str">
        <f t="shared" si="10"/>
        <v/>
      </c>
      <c r="G198" s="74"/>
      <c r="H198" s="75"/>
      <c r="I198" s="76" t="str">
        <f t="shared" si="11"/>
        <v/>
      </c>
    </row>
    <row r="199" spans="1:9" s="76" customFormat="1">
      <c r="A199" s="74"/>
      <c r="B199" s="75"/>
      <c r="C199" s="76" t="str">
        <f t="shared" si="9"/>
        <v/>
      </c>
      <c r="D199" s="74"/>
      <c r="E199" s="75"/>
      <c r="F199" s="76" t="str">
        <f t="shared" si="10"/>
        <v/>
      </c>
      <c r="G199" s="74"/>
      <c r="H199" s="75"/>
      <c r="I199" s="76" t="str">
        <f t="shared" si="11"/>
        <v/>
      </c>
    </row>
    <row r="200" spans="1:9" s="76" customFormat="1">
      <c r="A200" s="74"/>
      <c r="B200" s="75"/>
      <c r="C200" s="76" t="str">
        <f t="shared" si="9"/>
        <v/>
      </c>
      <c r="D200" s="74"/>
      <c r="E200" s="75"/>
      <c r="F200" s="76" t="str">
        <f t="shared" si="10"/>
        <v/>
      </c>
      <c r="G200" s="74"/>
      <c r="H200" s="75"/>
      <c r="I200" s="76" t="str">
        <f t="shared" si="11"/>
        <v/>
      </c>
    </row>
    <row r="201" spans="1:9" s="76" customFormat="1">
      <c r="A201" s="74"/>
      <c r="B201" s="75"/>
      <c r="C201" s="76" t="str">
        <f t="shared" si="9"/>
        <v/>
      </c>
      <c r="D201" s="74"/>
      <c r="E201" s="75"/>
      <c r="F201" s="76" t="str">
        <f t="shared" si="10"/>
        <v/>
      </c>
      <c r="G201" s="74"/>
      <c r="H201" s="75"/>
      <c r="I201" s="76" t="str">
        <f t="shared" si="11"/>
        <v/>
      </c>
    </row>
    <row r="202" spans="1:9" s="76" customFormat="1">
      <c r="A202" s="74"/>
      <c r="B202" s="75"/>
      <c r="C202" s="76" t="str">
        <f t="shared" si="9"/>
        <v/>
      </c>
      <c r="D202" s="74"/>
      <c r="E202" s="75"/>
      <c r="F202" s="76" t="str">
        <f t="shared" si="10"/>
        <v/>
      </c>
      <c r="G202" s="74"/>
      <c r="H202" s="75"/>
      <c r="I202" s="76" t="str">
        <f t="shared" si="11"/>
        <v/>
      </c>
    </row>
    <row r="203" spans="1:9" s="76" customFormat="1">
      <c r="A203" s="74"/>
      <c r="B203" s="75"/>
      <c r="C203" s="76" t="str">
        <f t="shared" si="9"/>
        <v/>
      </c>
      <c r="D203" s="74"/>
      <c r="E203" s="75"/>
      <c r="F203" s="76" t="str">
        <f t="shared" si="10"/>
        <v/>
      </c>
      <c r="G203" s="74"/>
      <c r="H203" s="75"/>
      <c r="I203" s="76" t="str">
        <f t="shared" si="11"/>
        <v/>
      </c>
    </row>
    <row r="204" spans="1:9" s="76" customFormat="1">
      <c r="A204" s="74"/>
      <c r="B204" s="75"/>
      <c r="C204" s="76" t="str">
        <f t="shared" si="9"/>
        <v/>
      </c>
      <c r="D204" s="74"/>
      <c r="E204" s="75"/>
      <c r="F204" s="76" t="str">
        <f t="shared" si="10"/>
        <v/>
      </c>
      <c r="G204" s="74"/>
      <c r="H204" s="75"/>
      <c r="I204" s="76" t="str">
        <f t="shared" si="11"/>
        <v/>
      </c>
    </row>
    <row r="205" spans="1:9" s="76" customFormat="1">
      <c r="A205" s="74"/>
      <c r="B205" s="75"/>
      <c r="C205" s="76" t="str">
        <f t="shared" si="9"/>
        <v/>
      </c>
      <c r="D205" s="74"/>
      <c r="E205" s="75"/>
      <c r="F205" s="76" t="str">
        <f t="shared" si="10"/>
        <v/>
      </c>
      <c r="G205" s="74"/>
      <c r="H205" s="75"/>
      <c r="I205" s="76" t="str">
        <f t="shared" si="11"/>
        <v/>
      </c>
    </row>
    <row r="206" spans="1:9" s="76" customFormat="1">
      <c r="A206" s="74"/>
      <c r="B206" s="75"/>
      <c r="C206" s="76" t="str">
        <f t="shared" si="9"/>
        <v/>
      </c>
      <c r="D206" s="74"/>
      <c r="E206" s="75"/>
      <c r="F206" s="76" t="str">
        <f t="shared" si="10"/>
        <v/>
      </c>
      <c r="G206" s="74"/>
      <c r="H206" s="75"/>
      <c r="I206" s="76" t="str">
        <f t="shared" si="11"/>
        <v/>
      </c>
    </row>
    <row r="207" spans="1:9" s="76" customFormat="1">
      <c r="A207" s="74"/>
      <c r="B207" s="75"/>
      <c r="C207" s="76" t="str">
        <f t="shared" si="9"/>
        <v/>
      </c>
      <c r="D207" s="74"/>
      <c r="E207" s="75"/>
      <c r="F207" s="76" t="str">
        <f t="shared" si="10"/>
        <v/>
      </c>
      <c r="G207" s="74"/>
      <c r="H207" s="75"/>
      <c r="I207" s="76" t="str">
        <f t="shared" si="11"/>
        <v/>
      </c>
    </row>
    <row r="208" spans="1:9" s="76" customFormat="1">
      <c r="A208" s="74"/>
      <c r="B208" s="75"/>
      <c r="C208" s="76" t="str">
        <f t="shared" si="9"/>
        <v/>
      </c>
      <c r="D208" s="74"/>
      <c r="E208" s="75"/>
      <c r="F208" s="76" t="str">
        <f t="shared" si="10"/>
        <v/>
      </c>
      <c r="G208" s="74"/>
      <c r="H208" s="75"/>
      <c r="I208" s="76" t="str">
        <f t="shared" si="11"/>
        <v/>
      </c>
    </row>
    <row r="209" spans="1:9" s="76" customFormat="1">
      <c r="A209" s="74"/>
      <c r="B209" s="75"/>
      <c r="C209" s="76" t="str">
        <f t="shared" si="9"/>
        <v/>
      </c>
      <c r="D209" s="74"/>
      <c r="E209" s="75"/>
      <c r="F209" s="76" t="str">
        <f t="shared" si="10"/>
        <v/>
      </c>
      <c r="G209" s="74"/>
      <c r="H209" s="75"/>
      <c r="I209" s="76" t="str">
        <f t="shared" si="11"/>
        <v/>
      </c>
    </row>
    <row r="210" spans="1:9" s="76" customFormat="1">
      <c r="A210" s="74"/>
      <c r="B210" s="75"/>
      <c r="C210" s="76" t="str">
        <f t="shared" si="9"/>
        <v/>
      </c>
      <c r="D210" s="74"/>
      <c r="E210" s="75"/>
      <c r="F210" s="76" t="str">
        <f t="shared" si="10"/>
        <v/>
      </c>
      <c r="G210" s="74"/>
      <c r="H210" s="75"/>
      <c r="I210" s="76" t="str">
        <f t="shared" si="11"/>
        <v/>
      </c>
    </row>
    <row r="211" spans="1:9" s="76" customFormat="1">
      <c r="A211" s="74"/>
      <c r="B211" s="75"/>
      <c r="C211" s="76" t="str">
        <f t="shared" si="9"/>
        <v/>
      </c>
      <c r="D211" s="74"/>
      <c r="E211" s="75"/>
      <c r="F211" s="76" t="str">
        <f t="shared" si="10"/>
        <v/>
      </c>
      <c r="G211" s="74"/>
      <c r="H211" s="75"/>
      <c r="I211" s="76" t="str">
        <f t="shared" si="11"/>
        <v/>
      </c>
    </row>
    <row r="212" spans="1:9" s="76" customFormat="1">
      <c r="A212" s="74"/>
      <c r="B212" s="75"/>
      <c r="C212" s="76" t="str">
        <f t="shared" si="9"/>
        <v/>
      </c>
      <c r="D212" s="74"/>
      <c r="E212" s="75"/>
      <c r="F212" s="76" t="str">
        <f t="shared" si="10"/>
        <v/>
      </c>
      <c r="G212" s="74"/>
      <c r="H212" s="75"/>
      <c r="I212" s="76" t="str">
        <f t="shared" si="11"/>
        <v/>
      </c>
    </row>
    <row r="213" spans="1:9" s="76" customFormat="1">
      <c r="A213" s="74"/>
      <c r="B213" s="75"/>
      <c r="C213" s="76" t="str">
        <f t="shared" si="9"/>
        <v/>
      </c>
      <c r="D213" s="74"/>
      <c r="E213" s="75"/>
      <c r="F213" s="76" t="str">
        <f t="shared" si="10"/>
        <v/>
      </c>
      <c r="G213" s="74"/>
      <c r="H213" s="75"/>
      <c r="I213" s="76" t="str">
        <f t="shared" si="11"/>
        <v/>
      </c>
    </row>
    <row r="214" spans="1:9" s="76" customFormat="1">
      <c r="A214" s="74"/>
      <c r="B214" s="75"/>
      <c r="C214" s="76" t="str">
        <f t="shared" si="9"/>
        <v/>
      </c>
      <c r="D214" s="74"/>
      <c r="E214" s="75"/>
      <c r="F214" s="76" t="str">
        <f t="shared" si="10"/>
        <v/>
      </c>
      <c r="G214" s="74"/>
      <c r="H214" s="75"/>
      <c r="I214" s="76" t="str">
        <f t="shared" si="11"/>
        <v/>
      </c>
    </row>
    <row r="215" spans="1:9" s="76" customFormat="1">
      <c r="A215" s="74"/>
      <c r="B215" s="75"/>
      <c r="C215" s="76" t="str">
        <f t="shared" si="9"/>
        <v/>
      </c>
      <c r="D215" s="74"/>
      <c r="E215" s="75"/>
      <c r="F215" s="76" t="str">
        <f t="shared" si="10"/>
        <v/>
      </c>
      <c r="G215" s="74"/>
      <c r="H215" s="75"/>
      <c r="I215" s="76" t="str">
        <f t="shared" si="11"/>
        <v/>
      </c>
    </row>
    <row r="216" spans="1:9" s="76" customFormat="1">
      <c r="A216" s="74"/>
      <c r="B216" s="75"/>
      <c r="C216" s="76" t="str">
        <f t="shared" si="9"/>
        <v/>
      </c>
      <c r="D216" s="74"/>
      <c r="E216" s="75"/>
      <c r="F216" s="76" t="str">
        <f t="shared" si="10"/>
        <v/>
      </c>
      <c r="G216" s="74"/>
      <c r="H216" s="75"/>
      <c r="I216" s="76" t="str">
        <f t="shared" si="11"/>
        <v/>
      </c>
    </row>
    <row r="217" spans="1:9" s="76" customFormat="1">
      <c r="A217" s="74"/>
      <c r="B217" s="75"/>
      <c r="C217" s="76" t="str">
        <f t="shared" si="9"/>
        <v/>
      </c>
      <c r="D217" s="74"/>
      <c r="E217" s="75"/>
      <c r="F217" s="76" t="str">
        <f t="shared" si="10"/>
        <v/>
      </c>
      <c r="G217" s="74"/>
      <c r="H217" s="75"/>
      <c r="I217" s="76" t="str">
        <f t="shared" si="11"/>
        <v/>
      </c>
    </row>
    <row r="218" spans="1:9" s="76" customFormat="1">
      <c r="A218" s="74"/>
      <c r="B218" s="75"/>
      <c r="C218" s="76" t="str">
        <f t="shared" si="9"/>
        <v/>
      </c>
      <c r="D218" s="74"/>
      <c r="E218" s="75"/>
      <c r="F218" s="76" t="str">
        <f t="shared" si="10"/>
        <v/>
      </c>
      <c r="G218" s="74"/>
      <c r="H218" s="75"/>
      <c r="I218" s="76" t="str">
        <f t="shared" si="11"/>
        <v/>
      </c>
    </row>
    <row r="219" spans="1:9" s="76" customFormat="1">
      <c r="A219" s="74"/>
      <c r="B219" s="75"/>
      <c r="C219" s="76" t="str">
        <f t="shared" si="9"/>
        <v/>
      </c>
      <c r="D219" s="74"/>
      <c r="E219" s="75"/>
      <c r="F219" s="76" t="str">
        <f t="shared" si="10"/>
        <v/>
      </c>
      <c r="G219" s="74"/>
      <c r="H219" s="75"/>
      <c r="I219" s="76" t="str">
        <f t="shared" si="11"/>
        <v/>
      </c>
    </row>
    <row r="220" spans="1:9" s="76" customFormat="1">
      <c r="A220" s="74"/>
      <c r="B220" s="75"/>
      <c r="C220" s="76" t="str">
        <f t="shared" si="9"/>
        <v/>
      </c>
      <c r="D220" s="74"/>
      <c r="E220" s="75"/>
      <c r="F220" s="76" t="str">
        <f t="shared" si="10"/>
        <v/>
      </c>
      <c r="G220" s="74"/>
      <c r="H220" s="75"/>
      <c r="I220" s="76" t="str">
        <f t="shared" si="11"/>
        <v/>
      </c>
    </row>
    <row r="221" spans="1:9" s="76" customFormat="1">
      <c r="A221" s="74"/>
      <c r="B221" s="75"/>
      <c r="C221" s="76" t="str">
        <f t="shared" si="9"/>
        <v/>
      </c>
      <c r="D221" s="74"/>
      <c r="E221" s="75"/>
      <c r="F221" s="76" t="str">
        <f t="shared" si="10"/>
        <v/>
      </c>
      <c r="G221" s="74"/>
      <c r="H221" s="75"/>
      <c r="I221" s="76" t="str">
        <f t="shared" si="11"/>
        <v/>
      </c>
    </row>
    <row r="222" spans="1:9" s="76" customFormat="1">
      <c r="A222" s="74"/>
      <c r="B222" s="75"/>
      <c r="C222" s="76" t="str">
        <f t="shared" si="9"/>
        <v/>
      </c>
      <c r="D222" s="74"/>
      <c r="E222" s="75"/>
      <c r="F222" s="76" t="str">
        <f t="shared" si="10"/>
        <v/>
      </c>
      <c r="G222" s="74"/>
      <c r="H222" s="75"/>
      <c r="I222" s="76" t="str">
        <f t="shared" si="11"/>
        <v/>
      </c>
    </row>
    <row r="223" spans="1:9" s="76" customFormat="1">
      <c r="A223" s="74"/>
      <c r="B223" s="75"/>
      <c r="C223" s="76" t="str">
        <f t="shared" si="9"/>
        <v/>
      </c>
      <c r="D223" s="74"/>
      <c r="E223" s="75"/>
      <c r="F223" s="76" t="str">
        <f t="shared" si="10"/>
        <v/>
      </c>
      <c r="G223" s="74"/>
      <c r="H223" s="75"/>
      <c r="I223" s="76" t="str">
        <f t="shared" si="11"/>
        <v/>
      </c>
    </row>
    <row r="224" spans="1:9" s="76" customFormat="1">
      <c r="A224" s="74"/>
      <c r="B224" s="75"/>
      <c r="C224" s="76" t="str">
        <f t="shared" si="9"/>
        <v/>
      </c>
      <c r="D224" s="74"/>
      <c r="E224" s="75"/>
      <c r="F224" s="76" t="str">
        <f t="shared" si="10"/>
        <v/>
      </c>
      <c r="G224" s="74"/>
      <c r="H224" s="75"/>
      <c r="I224" s="76" t="str">
        <f t="shared" si="11"/>
        <v/>
      </c>
    </row>
    <row r="225" spans="1:9" s="76" customFormat="1">
      <c r="A225" s="74"/>
      <c r="B225" s="75"/>
      <c r="C225" s="76" t="str">
        <f t="shared" si="9"/>
        <v/>
      </c>
      <c r="D225" s="74"/>
      <c r="E225" s="75"/>
      <c r="F225" s="76" t="str">
        <f t="shared" si="10"/>
        <v/>
      </c>
      <c r="G225" s="74"/>
      <c r="H225" s="75"/>
      <c r="I225" s="76" t="str">
        <f t="shared" si="11"/>
        <v/>
      </c>
    </row>
    <row r="226" spans="1:9" s="76" customFormat="1">
      <c r="A226" s="74"/>
      <c r="B226" s="75"/>
      <c r="C226" s="76" t="str">
        <f t="shared" si="9"/>
        <v/>
      </c>
      <c r="D226" s="74"/>
      <c r="E226" s="75"/>
      <c r="F226" s="76" t="str">
        <f t="shared" si="10"/>
        <v/>
      </c>
      <c r="G226" s="74"/>
      <c r="H226" s="75"/>
      <c r="I226" s="76" t="str">
        <f t="shared" si="11"/>
        <v/>
      </c>
    </row>
    <row r="227" spans="1:9" s="76" customFormat="1">
      <c r="A227" s="74"/>
      <c r="B227" s="75"/>
      <c r="C227" s="76" t="str">
        <f t="shared" si="9"/>
        <v/>
      </c>
      <c r="D227" s="74"/>
      <c r="E227" s="75"/>
      <c r="F227" s="76" t="str">
        <f t="shared" si="10"/>
        <v/>
      </c>
      <c r="G227" s="74"/>
      <c r="H227" s="75"/>
      <c r="I227" s="76" t="str">
        <f t="shared" si="11"/>
        <v/>
      </c>
    </row>
    <row r="228" spans="1:9" s="76" customFormat="1">
      <c r="A228" s="74"/>
      <c r="B228" s="75"/>
      <c r="C228" s="76" t="str">
        <f t="shared" si="9"/>
        <v/>
      </c>
      <c r="D228" s="74"/>
      <c r="E228" s="75"/>
      <c r="F228" s="76" t="str">
        <f t="shared" si="10"/>
        <v/>
      </c>
      <c r="G228" s="74"/>
      <c r="H228" s="75"/>
      <c r="I228" s="76" t="str">
        <f t="shared" si="11"/>
        <v/>
      </c>
    </row>
    <row r="229" spans="1:9" s="76" customFormat="1">
      <c r="A229" s="74"/>
      <c r="B229" s="75"/>
      <c r="C229" s="76" t="str">
        <f t="shared" si="9"/>
        <v/>
      </c>
      <c r="D229" s="74"/>
      <c r="E229" s="75"/>
      <c r="F229" s="76" t="str">
        <f t="shared" si="10"/>
        <v/>
      </c>
      <c r="G229" s="74"/>
      <c r="H229" s="75"/>
      <c r="I229" s="76" t="str">
        <f t="shared" si="11"/>
        <v/>
      </c>
    </row>
    <row r="230" spans="1:9" s="76" customFormat="1">
      <c r="A230" s="74"/>
      <c r="B230" s="75"/>
      <c r="C230" s="76" t="str">
        <f t="shared" si="9"/>
        <v/>
      </c>
      <c r="D230" s="74"/>
      <c r="E230" s="75"/>
      <c r="F230" s="76" t="str">
        <f t="shared" si="10"/>
        <v/>
      </c>
      <c r="G230" s="74"/>
      <c r="H230" s="75"/>
      <c r="I230" s="76" t="str">
        <f t="shared" si="11"/>
        <v/>
      </c>
    </row>
    <row r="231" spans="1:9" s="76" customFormat="1">
      <c r="A231" s="74"/>
      <c r="B231" s="75"/>
      <c r="C231" s="76" t="str">
        <f t="shared" si="9"/>
        <v/>
      </c>
      <c r="D231" s="74"/>
      <c r="E231" s="75"/>
      <c r="F231" s="76" t="str">
        <f t="shared" si="10"/>
        <v/>
      </c>
      <c r="G231" s="74"/>
      <c r="H231" s="75"/>
      <c r="I231" s="76" t="str">
        <f t="shared" si="11"/>
        <v/>
      </c>
    </row>
    <row r="232" spans="1:9" s="76" customFormat="1">
      <c r="A232" s="74"/>
      <c r="B232" s="75"/>
      <c r="C232" s="76" t="str">
        <f t="shared" si="9"/>
        <v/>
      </c>
      <c r="D232" s="74"/>
      <c r="E232" s="75"/>
      <c r="F232" s="76" t="str">
        <f t="shared" si="10"/>
        <v/>
      </c>
      <c r="G232" s="74"/>
      <c r="H232" s="75"/>
      <c r="I232" s="76" t="str">
        <f t="shared" si="11"/>
        <v/>
      </c>
    </row>
    <row r="233" spans="1:9" s="76" customFormat="1">
      <c r="A233" s="74"/>
      <c r="B233" s="75"/>
      <c r="C233" s="76" t="str">
        <f t="shared" si="9"/>
        <v/>
      </c>
      <c r="D233" s="74"/>
      <c r="E233" s="75"/>
      <c r="F233" s="76" t="str">
        <f t="shared" si="10"/>
        <v/>
      </c>
      <c r="G233" s="74"/>
      <c r="H233" s="75"/>
      <c r="I233" s="76" t="str">
        <f t="shared" si="11"/>
        <v/>
      </c>
    </row>
    <row r="234" spans="1:9" s="76" customFormat="1">
      <c r="A234" s="74"/>
      <c r="B234" s="75"/>
      <c r="C234" s="76" t="str">
        <f t="shared" si="9"/>
        <v/>
      </c>
      <c r="D234" s="74"/>
      <c r="E234" s="75"/>
      <c r="F234" s="76" t="str">
        <f t="shared" si="10"/>
        <v/>
      </c>
      <c r="G234" s="74"/>
      <c r="H234" s="75"/>
      <c r="I234" s="76" t="str">
        <f t="shared" si="11"/>
        <v/>
      </c>
    </row>
    <row r="235" spans="1:9" s="76" customFormat="1">
      <c r="A235" s="74"/>
      <c r="B235" s="75"/>
      <c r="C235" s="76" t="str">
        <f t="shared" si="9"/>
        <v/>
      </c>
      <c r="D235" s="74"/>
      <c r="E235" s="75"/>
      <c r="F235" s="76" t="str">
        <f t="shared" si="10"/>
        <v/>
      </c>
      <c r="G235" s="74"/>
      <c r="H235" s="75"/>
      <c r="I235" s="76" t="str">
        <f t="shared" si="11"/>
        <v/>
      </c>
    </row>
    <row r="236" spans="1:9" s="76" customFormat="1">
      <c r="A236" s="74"/>
      <c r="B236" s="75"/>
      <c r="C236" s="76" t="str">
        <f t="shared" si="9"/>
        <v/>
      </c>
      <c r="D236" s="74"/>
      <c r="E236" s="75"/>
      <c r="F236" s="76" t="str">
        <f t="shared" si="10"/>
        <v/>
      </c>
      <c r="G236" s="74"/>
      <c r="H236" s="75"/>
      <c r="I236" s="76" t="str">
        <f t="shared" si="11"/>
        <v/>
      </c>
    </row>
    <row r="237" spans="1:9" s="76" customFormat="1">
      <c r="A237" s="74"/>
      <c r="B237" s="75"/>
      <c r="C237" s="76" t="str">
        <f t="shared" si="9"/>
        <v/>
      </c>
      <c r="D237" s="74"/>
      <c r="E237" s="75"/>
      <c r="F237" s="76" t="str">
        <f t="shared" si="10"/>
        <v/>
      </c>
      <c r="G237" s="74"/>
      <c r="H237" s="75"/>
      <c r="I237" s="76" t="str">
        <f t="shared" si="11"/>
        <v/>
      </c>
    </row>
    <row r="238" spans="1:9" s="76" customFormat="1">
      <c r="A238" s="74"/>
      <c r="B238" s="75"/>
      <c r="C238" s="76" t="str">
        <f t="shared" si="9"/>
        <v/>
      </c>
      <c r="D238" s="74"/>
      <c r="E238" s="75"/>
      <c r="F238" s="76" t="str">
        <f t="shared" si="10"/>
        <v/>
      </c>
      <c r="G238" s="74"/>
      <c r="H238" s="75"/>
      <c r="I238" s="76" t="str">
        <f t="shared" si="11"/>
        <v/>
      </c>
    </row>
    <row r="239" spans="1:9" s="76" customFormat="1">
      <c r="A239" s="74"/>
      <c r="B239" s="75"/>
      <c r="C239" s="76" t="str">
        <f t="shared" si="9"/>
        <v/>
      </c>
      <c r="D239" s="74"/>
      <c r="E239" s="75"/>
      <c r="F239" s="76" t="str">
        <f t="shared" si="10"/>
        <v/>
      </c>
      <c r="G239" s="74"/>
      <c r="H239" s="75"/>
      <c r="I239" s="76" t="str">
        <f t="shared" si="11"/>
        <v/>
      </c>
    </row>
    <row r="240" spans="1:9" s="76" customFormat="1">
      <c r="A240" s="74"/>
      <c r="B240" s="75"/>
      <c r="C240" s="76" t="str">
        <f t="shared" si="9"/>
        <v/>
      </c>
      <c r="D240" s="74"/>
      <c r="E240" s="75"/>
      <c r="F240" s="76" t="str">
        <f t="shared" si="10"/>
        <v/>
      </c>
      <c r="G240" s="74"/>
      <c r="H240" s="75"/>
      <c r="I240" s="76" t="str">
        <f t="shared" si="11"/>
        <v/>
      </c>
    </row>
    <row r="241" spans="1:9" s="76" customFormat="1">
      <c r="A241" s="74"/>
      <c r="B241" s="75"/>
      <c r="C241" s="76" t="str">
        <f t="shared" si="9"/>
        <v/>
      </c>
      <c r="D241" s="74"/>
      <c r="E241" s="75"/>
      <c r="F241" s="76" t="str">
        <f t="shared" si="10"/>
        <v/>
      </c>
      <c r="G241" s="74"/>
      <c r="H241" s="75"/>
      <c r="I241" s="76" t="str">
        <f t="shared" si="11"/>
        <v/>
      </c>
    </row>
    <row r="242" spans="1:9" s="76" customFormat="1">
      <c r="A242" s="74"/>
      <c r="B242" s="75"/>
      <c r="C242" s="76" t="str">
        <f t="shared" si="9"/>
        <v/>
      </c>
      <c r="D242" s="74"/>
      <c r="E242" s="75"/>
      <c r="F242" s="76" t="str">
        <f t="shared" si="10"/>
        <v/>
      </c>
      <c r="G242" s="74"/>
      <c r="H242" s="75"/>
      <c r="I242" s="76" t="str">
        <f t="shared" si="11"/>
        <v/>
      </c>
    </row>
    <row r="243" spans="1:9" s="76" customFormat="1">
      <c r="A243" s="74"/>
      <c r="B243" s="75"/>
      <c r="C243" s="76" t="str">
        <f t="shared" si="9"/>
        <v/>
      </c>
      <c r="D243" s="74"/>
      <c r="E243" s="75"/>
      <c r="F243" s="76" t="str">
        <f t="shared" si="10"/>
        <v/>
      </c>
      <c r="G243" s="74"/>
      <c r="H243" s="75"/>
      <c r="I243" s="76" t="str">
        <f t="shared" si="11"/>
        <v/>
      </c>
    </row>
    <row r="244" spans="1:9" s="76" customFormat="1">
      <c r="A244" s="74"/>
      <c r="B244" s="75"/>
      <c r="C244" s="76" t="str">
        <f t="shared" si="9"/>
        <v/>
      </c>
      <c r="D244" s="74"/>
      <c r="E244" s="75"/>
      <c r="F244" s="76" t="str">
        <f t="shared" si="10"/>
        <v/>
      </c>
      <c r="G244" s="74"/>
      <c r="H244" s="75"/>
      <c r="I244" s="76" t="str">
        <f t="shared" si="11"/>
        <v/>
      </c>
    </row>
    <row r="245" spans="1:9" s="76" customFormat="1">
      <c r="A245" s="74"/>
      <c r="B245" s="75"/>
      <c r="C245" s="76" t="str">
        <f t="shared" si="9"/>
        <v/>
      </c>
      <c r="D245" s="74"/>
      <c r="E245" s="75"/>
      <c r="F245" s="76" t="str">
        <f t="shared" si="10"/>
        <v/>
      </c>
      <c r="G245" s="74"/>
      <c r="H245" s="75"/>
      <c r="I245" s="76" t="str">
        <f t="shared" si="11"/>
        <v/>
      </c>
    </row>
    <row r="246" spans="1:9" s="76" customFormat="1">
      <c r="A246" s="74"/>
      <c r="B246" s="75"/>
      <c r="C246" s="76" t="str">
        <f t="shared" si="9"/>
        <v/>
      </c>
      <c r="D246" s="74"/>
      <c r="E246" s="75"/>
      <c r="F246" s="76" t="str">
        <f t="shared" si="10"/>
        <v/>
      </c>
      <c r="G246" s="74"/>
      <c r="H246" s="75"/>
      <c r="I246" s="76" t="str">
        <f t="shared" si="11"/>
        <v/>
      </c>
    </row>
    <row r="247" spans="1:9" s="76" customFormat="1">
      <c r="A247" s="74"/>
      <c r="B247" s="75"/>
      <c r="C247" s="76" t="str">
        <f t="shared" si="9"/>
        <v/>
      </c>
      <c r="D247" s="74"/>
      <c r="E247" s="75"/>
      <c r="F247" s="76" t="str">
        <f t="shared" si="10"/>
        <v/>
      </c>
      <c r="G247" s="74"/>
      <c r="H247" s="75"/>
      <c r="I247" s="76" t="str">
        <f t="shared" si="11"/>
        <v/>
      </c>
    </row>
    <row r="248" spans="1:9" s="76" customFormat="1">
      <c r="A248" s="74"/>
      <c r="B248" s="75"/>
      <c r="C248" s="76" t="str">
        <f t="shared" si="9"/>
        <v/>
      </c>
      <c r="D248" s="74"/>
      <c r="E248" s="75"/>
      <c r="F248" s="76" t="str">
        <f t="shared" si="10"/>
        <v/>
      </c>
      <c r="G248" s="74"/>
      <c r="H248" s="75"/>
      <c r="I248" s="76" t="str">
        <f t="shared" si="11"/>
        <v/>
      </c>
    </row>
    <row r="249" spans="1:9" s="76" customFormat="1">
      <c r="A249" s="74"/>
      <c r="B249" s="75"/>
      <c r="C249" s="76" t="str">
        <f t="shared" si="9"/>
        <v/>
      </c>
      <c r="D249" s="74"/>
      <c r="E249" s="75"/>
      <c r="F249" s="76" t="str">
        <f t="shared" si="10"/>
        <v/>
      </c>
      <c r="G249" s="74"/>
      <c r="H249" s="75"/>
      <c r="I249" s="76" t="str">
        <f t="shared" si="11"/>
        <v/>
      </c>
    </row>
    <row r="250" spans="1:9" s="76" customFormat="1">
      <c r="A250" s="74"/>
      <c r="B250" s="75"/>
      <c r="C250" s="76" t="str">
        <f t="shared" si="9"/>
        <v/>
      </c>
      <c r="D250" s="74"/>
      <c r="E250" s="75"/>
      <c r="F250" s="76" t="str">
        <f t="shared" si="10"/>
        <v/>
      </c>
      <c r="G250" s="74"/>
      <c r="H250" s="75"/>
      <c r="I250" s="76" t="str">
        <f t="shared" si="11"/>
        <v/>
      </c>
    </row>
    <row r="251" spans="1:9" s="76" customFormat="1">
      <c r="A251" s="74"/>
      <c r="B251" s="75"/>
      <c r="C251" s="76" t="str">
        <f t="shared" si="9"/>
        <v/>
      </c>
      <c r="D251" s="74"/>
      <c r="E251" s="75"/>
      <c r="F251" s="76" t="str">
        <f t="shared" si="10"/>
        <v/>
      </c>
      <c r="G251" s="74"/>
      <c r="H251" s="75"/>
      <c r="I251" s="76" t="str">
        <f t="shared" si="11"/>
        <v/>
      </c>
    </row>
    <row r="252" spans="1:9" s="76" customFormat="1">
      <c r="A252" s="74"/>
      <c r="B252" s="75"/>
      <c r="C252" s="76" t="str">
        <f t="shared" si="9"/>
        <v/>
      </c>
      <c r="D252" s="74"/>
      <c r="E252" s="75"/>
      <c r="F252" s="76" t="str">
        <f t="shared" si="10"/>
        <v/>
      </c>
      <c r="G252" s="74"/>
      <c r="H252" s="75"/>
      <c r="I252" s="76" t="str">
        <f t="shared" si="11"/>
        <v/>
      </c>
    </row>
    <row r="253" spans="1:9" s="76" customFormat="1">
      <c r="A253" s="74"/>
      <c r="B253" s="75"/>
      <c r="C253" s="76" t="str">
        <f t="shared" si="9"/>
        <v/>
      </c>
      <c r="D253" s="74"/>
      <c r="E253" s="75"/>
      <c r="F253" s="76" t="str">
        <f t="shared" si="10"/>
        <v/>
      </c>
      <c r="G253" s="74"/>
      <c r="H253" s="75"/>
      <c r="I253" s="76" t="str">
        <f t="shared" si="11"/>
        <v/>
      </c>
    </row>
    <row r="254" spans="1:9" s="76" customFormat="1">
      <c r="A254" s="74"/>
      <c r="B254" s="75"/>
      <c r="C254" s="76" t="str">
        <f t="shared" si="9"/>
        <v/>
      </c>
      <c r="D254" s="74"/>
      <c r="E254" s="75"/>
      <c r="F254" s="76" t="str">
        <f t="shared" si="10"/>
        <v/>
      </c>
      <c r="G254" s="74"/>
      <c r="H254" s="75"/>
      <c r="I254" s="76" t="str">
        <f t="shared" si="11"/>
        <v/>
      </c>
    </row>
    <row r="255" spans="1:9" s="76" customFormat="1">
      <c r="A255" s="74"/>
      <c r="B255" s="75"/>
      <c r="C255" s="76" t="str">
        <f t="shared" si="9"/>
        <v/>
      </c>
      <c r="D255" s="74"/>
      <c r="E255" s="75"/>
      <c r="F255" s="76" t="str">
        <f t="shared" si="10"/>
        <v/>
      </c>
      <c r="G255" s="74"/>
      <c r="H255" s="75"/>
      <c r="I255" s="76" t="str">
        <f t="shared" si="11"/>
        <v/>
      </c>
    </row>
    <row r="256" spans="1:9" s="76" customFormat="1">
      <c r="A256" s="74"/>
      <c r="B256" s="75"/>
      <c r="C256" s="76" t="str">
        <f t="shared" si="9"/>
        <v/>
      </c>
      <c r="D256" s="74"/>
      <c r="E256" s="75"/>
      <c r="F256" s="76" t="str">
        <f t="shared" si="10"/>
        <v/>
      </c>
      <c r="G256" s="74"/>
      <c r="H256" s="75"/>
      <c r="I256" s="76" t="str">
        <f t="shared" si="11"/>
        <v/>
      </c>
    </row>
    <row r="257" spans="1:9" s="76" customFormat="1">
      <c r="A257" s="74"/>
      <c r="B257" s="75"/>
      <c r="C257" s="76" t="str">
        <f t="shared" si="9"/>
        <v/>
      </c>
      <c r="D257" s="74"/>
      <c r="E257" s="75"/>
      <c r="F257" s="76" t="str">
        <f t="shared" si="10"/>
        <v/>
      </c>
      <c r="G257" s="74"/>
      <c r="H257" s="75"/>
      <c r="I257" s="76" t="str">
        <f t="shared" si="11"/>
        <v/>
      </c>
    </row>
    <row r="258" spans="1:9" s="76" customFormat="1">
      <c r="A258" s="74"/>
      <c r="B258" s="75"/>
      <c r="C258" s="76" t="str">
        <f t="shared" si="9"/>
        <v/>
      </c>
      <c r="D258" s="74"/>
      <c r="E258" s="75"/>
      <c r="F258" s="76" t="str">
        <f t="shared" si="10"/>
        <v/>
      </c>
      <c r="G258" s="74"/>
      <c r="H258" s="75"/>
      <c r="I258" s="76" t="str">
        <f t="shared" si="11"/>
        <v/>
      </c>
    </row>
    <row r="259" spans="1:9" s="76" customFormat="1">
      <c r="A259" s="74"/>
      <c r="B259" s="75"/>
      <c r="C259" s="76" t="str">
        <f t="shared" si="9"/>
        <v/>
      </c>
      <c r="D259" s="74"/>
      <c r="E259" s="75"/>
      <c r="F259" s="76" t="str">
        <f t="shared" si="10"/>
        <v/>
      </c>
      <c r="G259" s="74"/>
      <c r="H259" s="75"/>
      <c r="I259" s="76" t="str">
        <f t="shared" si="11"/>
        <v/>
      </c>
    </row>
    <row r="260" spans="1:9" s="76" customFormat="1">
      <c r="A260" s="74"/>
      <c r="B260" s="75"/>
      <c r="C260" s="76" t="str">
        <f t="shared" si="9"/>
        <v/>
      </c>
      <c r="D260" s="74"/>
      <c r="E260" s="75"/>
      <c r="F260" s="76" t="str">
        <f t="shared" si="10"/>
        <v/>
      </c>
      <c r="G260" s="74"/>
      <c r="H260" s="75"/>
      <c r="I260" s="76" t="str">
        <f t="shared" si="11"/>
        <v/>
      </c>
    </row>
    <row r="261" spans="1:9" s="76" customFormat="1">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c r="A262" s="74"/>
      <c r="B262" s="75"/>
      <c r="C262" s="76" t="str">
        <f t="shared" si="12"/>
        <v/>
      </c>
      <c r="D262" s="74"/>
      <c r="E262" s="75"/>
      <c r="F262" s="76" t="str">
        <f t="shared" si="13"/>
        <v/>
      </c>
      <c r="G262" s="74"/>
      <c r="H262" s="75"/>
      <c r="I262" s="76" t="str">
        <f t="shared" si="14"/>
        <v/>
      </c>
    </row>
    <row r="263" spans="1:9" s="76" customFormat="1">
      <c r="A263" s="74"/>
      <c r="B263" s="75"/>
      <c r="C263" s="76" t="str">
        <f t="shared" si="12"/>
        <v/>
      </c>
      <c r="D263" s="74"/>
      <c r="E263" s="75"/>
      <c r="F263" s="76" t="str">
        <f t="shared" si="13"/>
        <v/>
      </c>
      <c r="G263" s="74"/>
      <c r="H263" s="75"/>
      <c r="I263" s="76" t="str">
        <f t="shared" si="14"/>
        <v/>
      </c>
    </row>
    <row r="264" spans="1:9" s="76" customFormat="1">
      <c r="A264" s="74"/>
      <c r="B264" s="75"/>
      <c r="C264" s="76" t="str">
        <f t="shared" si="12"/>
        <v/>
      </c>
      <c r="D264" s="74"/>
      <c r="E264" s="75"/>
      <c r="F264" s="76" t="str">
        <f t="shared" si="13"/>
        <v/>
      </c>
      <c r="G264" s="74"/>
      <c r="H264" s="75"/>
      <c r="I264" s="76" t="str">
        <f t="shared" si="14"/>
        <v/>
      </c>
    </row>
    <row r="265" spans="1:9" s="76" customFormat="1">
      <c r="A265" s="74"/>
      <c r="B265" s="75"/>
      <c r="C265" s="76" t="str">
        <f t="shared" si="12"/>
        <v/>
      </c>
      <c r="D265" s="74"/>
      <c r="E265" s="75"/>
      <c r="F265" s="76" t="str">
        <f t="shared" si="13"/>
        <v/>
      </c>
      <c r="G265" s="74"/>
      <c r="H265" s="75"/>
      <c r="I265" s="76" t="str">
        <f t="shared" si="14"/>
        <v/>
      </c>
    </row>
    <row r="266" spans="1:9" s="76" customFormat="1">
      <c r="A266" s="74"/>
      <c r="B266" s="75"/>
      <c r="C266" s="76" t="str">
        <f t="shared" si="12"/>
        <v/>
      </c>
      <c r="D266" s="74"/>
      <c r="E266" s="75"/>
      <c r="F266" s="76" t="str">
        <f t="shared" si="13"/>
        <v/>
      </c>
      <c r="G266" s="74"/>
      <c r="H266" s="75"/>
      <c r="I266" s="76" t="str">
        <f t="shared" si="14"/>
        <v/>
      </c>
    </row>
    <row r="267" spans="1:9" s="76" customFormat="1">
      <c r="A267" s="74"/>
      <c r="B267" s="75"/>
      <c r="C267" s="76" t="str">
        <f t="shared" si="12"/>
        <v/>
      </c>
      <c r="D267" s="74"/>
      <c r="E267" s="75"/>
      <c r="F267" s="76" t="str">
        <f t="shared" si="13"/>
        <v/>
      </c>
      <c r="G267" s="74"/>
      <c r="H267" s="75"/>
      <c r="I267" s="76" t="str">
        <f t="shared" si="14"/>
        <v/>
      </c>
    </row>
    <row r="268" spans="1:9" s="76" customFormat="1">
      <c r="A268" s="74"/>
      <c r="B268" s="75"/>
      <c r="C268" s="76" t="str">
        <f t="shared" si="12"/>
        <v/>
      </c>
      <c r="D268" s="74"/>
      <c r="E268" s="75"/>
      <c r="F268" s="76" t="str">
        <f t="shared" si="13"/>
        <v/>
      </c>
      <c r="G268" s="74"/>
      <c r="H268" s="75"/>
      <c r="I268" s="76" t="str">
        <f t="shared" si="14"/>
        <v/>
      </c>
    </row>
    <row r="269" spans="1:9" s="76" customFormat="1">
      <c r="A269" s="74"/>
      <c r="B269" s="75"/>
      <c r="C269" s="76" t="str">
        <f t="shared" si="12"/>
        <v/>
      </c>
      <c r="D269" s="74"/>
      <c r="E269" s="75"/>
      <c r="F269" s="76" t="str">
        <f t="shared" si="13"/>
        <v/>
      </c>
      <c r="G269" s="74"/>
      <c r="H269" s="75"/>
      <c r="I269" s="76" t="str">
        <f t="shared" si="14"/>
        <v/>
      </c>
    </row>
    <row r="270" spans="1:9" s="76" customFormat="1">
      <c r="A270" s="74"/>
      <c r="B270" s="75"/>
      <c r="C270" s="76" t="str">
        <f t="shared" si="12"/>
        <v/>
      </c>
      <c r="D270" s="74"/>
      <c r="E270" s="75"/>
      <c r="F270" s="76" t="str">
        <f t="shared" si="13"/>
        <v/>
      </c>
      <c r="G270" s="74"/>
      <c r="H270" s="75"/>
      <c r="I270" s="76" t="str">
        <f t="shared" si="14"/>
        <v/>
      </c>
    </row>
    <row r="271" spans="1:9" s="76" customFormat="1">
      <c r="A271" s="74"/>
      <c r="B271" s="75"/>
      <c r="C271" s="76" t="str">
        <f t="shared" si="12"/>
        <v/>
      </c>
      <c r="D271" s="74"/>
      <c r="E271" s="75"/>
      <c r="F271" s="76" t="str">
        <f t="shared" si="13"/>
        <v/>
      </c>
      <c r="G271" s="74"/>
      <c r="H271" s="75"/>
      <c r="I271" s="76" t="str">
        <f t="shared" si="14"/>
        <v/>
      </c>
    </row>
    <row r="272" spans="1:9" s="76" customFormat="1">
      <c r="A272" s="74"/>
      <c r="B272" s="75"/>
      <c r="C272" s="76" t="str">
        <f t="shared" si="12"/>
        <v/>
      </c>
      <c r="D272" s="74"/>
      <c r="E272" s="75"/>
      <c r="F272" s="76" t="str">
        <f t="shared" si="13"/>
        <v/>
      </c>
      <c r="G272" s="74"/>
      <c r="H272" s="75"/>
      <c r="I272" s="76" t="str">
        <f t="shared" si="14"/>
        <v/>
      </c>
    </row>
    <row r="273" spans="1:9" s="76" customFormat="1">
      <c r="A273" s="74"/>
      <c r="B273" s="75"/>
      <c r="C273" s="76" t="str">
        <f t="shared" si="12"/>
        <v/>
      </c>
      <c r="D273" s="74"/>
      <c r="E273" s="75"/>
      <c r="F273" s="76" t="str">
        <f t="shared" si="13"/>
        <v/>
      </c>
      <c r="G273" s="74"/>
      <c r="H273" s="75"/>
      <c r="I273" s="76" t="str">
        <f t="shared" si="14"/>
        <v/>
      </c>
    </row>
    <row r="274" spans="1:9" s="76" customFormat="1">
      <c r="A274" s="74"/>
      <c r="B274" s="75"/>
      <c r="C274" s="76" t="str">
        <f t="shared" si="12"/>
        <v/>
      </c>
      <c r="D274" s="74"/>
      <c r="E274" s="75"/>
      <c r="F274" s="76" t="str">
        <f t="shared" si="13"/>
        <v/>
      </c>
      <c r="G274" s="74"/>
      <c r="H274" s="75"/>
      <c r="I274" s="76" t="str">
        <f t="shared" si="14"/>
        <v/>
      </c>
    </row>
    <row r="275" spans="1:9" s="76" customFormat="1">
      <c r="A275" s="74"/>
      <c r="B275" s="75"/>
      <c r="C275" s="76" t="str">
        <f t="shared" si="12"/>
        <v/>
      </c>
      <c r="D275" s="74"/>
      <c r="E275" s="75"/>
      <c r="F275" s="76" t="str">
        <f t="shared" si="13"/>
        <v/>
      </c>
      <c r="G275" s="74"/>
      <c r="H275" s="75"/>
      <c r="I275" s="76" t="str">
        <f t="shared" si="14"/>
        <v/>
      </c>
    </row>
    <row r="276" spans="1:9" s="76" customFormat="1">
      <c r="A276" s="74"/>
      <c r="B276" s="75"/>
      <c r="C276" s="76" t="str">
        <f t="shared" si="12"/>
        <v/>
      </c>
      <c r="D276" s="74"/>
      <c r="E276" s="75"/>
      <c r="F276" s="76" t="str">
        <f t="shared" si="13"/>
        <v/>
      </c>
      <c r="G276" s="74"/>
      <c r="H276" s="75"/>
      <c r="I276" s="76" t="str">
        <f t="shared" si="14"/>
        <v/>
      </c>
    </row>
    <row r="277" spans="1:9" s="76" customFormat="1">
      <c r="A277" s="74"/>
      <c r="B277" s="75"/>
      <c r="C277" s="76" t="str">
        <f t="shared" si="12"/>
        <v/>
      </c>
      <c r="D277" s="74"/>
      <c r="E277" s="75"/>
      <c r="F277" s="76" t="str">
        <f t="shared" si="13"/>
        <v/>
      </c>
      <c r="G277" s="74"/>
      <c r="H277" s="75"/>
      <c r="I277" s="76" t="str">
        <f t="shared" si="14"/>
        <v/>
      </c>
    </row>
    <row r="278" spans="1:9" s="76" customFormat="1">
      <c r="A278" s="74"/>
      <c r="B278" s="75"/>
      <c r="C278" s="76" t="str">
        <f t="shared" si="12"/>
        <v/>
      </c>
      <c r="D278" s="74"/>
      <c r="E278" s="75"/>
      <c r="F278" s="76" t="str">
        <f t="shared" si="13"/>
        <v/>
      </c>
      <c r="G278" s="74"/>
      <c r="H278" s="75"/>
      <c r="I278" s="76" t="str">
        <f t="shared" si="14"/>
        <v/>
      </c>
    </row>
    <row r="279" spans="1:9" s="76" customFormat="1">
      <c r="A279" s="74"/>
      <c r="B279" s="75"/>
      <c r="C279" s="76" t="str">
        <f t="shared" si="12"/>
        <v/>
      </c>
      <c r="D279" s="74"/>
      <c r="E279" s="75"/>
      <c r="F279" s="76" t="str">
        <f t="shared" si="13"/>
        <v/>
      </c>
      <c r="G279" s="74"/>
      <c r="H279" s="75"/>
      <c r="I279" s="76" t="str">
        <f t="shared" si="14"/>
        <v/>
      </c>
    </row>
    <row r="280" spans="1:9" s="76" customFormat="1">
      <c r="A280" s="74"/>
      <c r="B280" s="75"/>
      <c r="C280" s="76" t="str">
        <f t="shared" si="12"/>
        <v/>
      </c>
      <c r="D280" s="74"/>
      <c r="E280" s="75"/>
      <c r="F280" s="76" t="str">
        <f t="shared" si="13"/>
        <v/>
      </c>
      <c r="G280" s="74"/>
      <c r="H280" s="75"/>
      <c r="I280" s="76" t="str">
        <f t="shared" si="14"/>
        <v/>
      </c>
    </row>
    <row r="281" spans="1:9" s="76" customFormat="1">
      <c r="A281" s="74"/>
      <c r="B281" s="75"/>
      <c r="C281" s="76" t="str">
        <f t="shared" si="12"/>
        <v/>
      </c>
      <c r="D281" s="74"/>
      <c r="E281" s="75"/>
      <c r="F281" s="76" t="str">
        <f t="shared" si="13"/>
        <v/>
      </c>
      <c r="G281" s="74"/>
      <c r="H281" s="75"/>
      <c r="I281" s="76" t="str">
        <f t="shared" si="14"/>
        <v/>
      </c>
    </row>
    <row r="282" spans="1:9" s="76" customFormat="1">
      <c r="A282" s="74"/>
      <c r="B282" s="75"/>
      <c r="C282" s="76" t="str">
        <f t="shared" si="12"/>
        <v/>
      </c>
      <c r="D282" s="74"/>
      <c r="E282" s="75"/>
      <c r="F282" s="76" t="str">
        <f t="shared" si="13"/>
        <v/>
      </c>
      <c r="G282" s="74"/>
      <c r="H282" s="75"/>
      <c r="I282" s="76" t="str">
        <f t="shared" si="14"/>
        <v/>
      </c>
    </row>
    <row r="283" spans="1:9" s="76" customFormat="1">
      <c r="A283" s="74"/>
      <c r="B283" s="75"/>
      <c r="C283" s="76" t="str">
        <f t="shared" si="12"/>
        <v/>
      </c>
      <c r="D283" s="74"/>
      <c r="E283" s="75"/>
      <c r="F283" s="76" t="str">
        <f t="shared" si="13"/>
        <v/>
      </c>
      <c r="G283" s="74"/>
      <c r="H283" s="75"/>
      <c r="I283" s="76" t="str">
        <f t="shared" si="14"/>
        <v/>
      </c>
    </row>
    <row r="284" spans="1:9" s="76" customFormat="1">
      <c r="A284" s="74"/>
      <c r="B284" s="75"/>
      <c r="C284" s="76" t="str">
        <f t="shared" si="12"/>
        <v/>
      </c>
      <c r="D284" s="74"/>
      <c r="E284" s="75"/>
      <c r="F284" s="76" t="str">
        <f t="shared" si="13"/>
        <v/>
      </c>
      <c r="G284" s="74"/>
      <c r="H284" s="75"/>
      <c r="I284" s="76" t="str">
        <f t="shared" si="14"/>
        <v/>
      </c>
    </row>
    <row r="285" spans="1:9" s="76" customFormat="1">
      <c r="A285" s="74"/>
      <c r="B285" s="75"/>
      <c r="C285" s="76" t="str">
        <f t="shared" si="12"/>
        <v/>
      </c>
      <c r="D285" s="74"/>
      <c r="E285" s="75"/>
      <c r="F285" s="76" t="str">
        <f t="shared" si="13"/>
        <v/>
      </c>
      <c r="G285" s="74"/>
      <c r="H285" s="75"/>
      <c r="I285" s="76" t="str">
        <f t="shared" si="14"/>
        <v/>
      </c>
    </row>
    <row r="286" spans="1:9" s="76" customFormat="1">
      <c r="A286" s="74"/>
      <c r="B286" s="75"/>
      <c r="C286" s="76" t="str">
        <f t="shared" si="12"/>
        <v/>
      </c>
      <c r="D286" s="74"/>
      <c r="E286" s="75"/>
      <c r="F286" s="76" t="str">
        <f t="shared" si="13"/>
        <v/>
      </c>
      <c r="G286" s="74"/>
      <c r="H286" s="75"/>
      <c r="I286" s="76" t="str">
        <f t="shared" si="14"/>
        <v/>
      </c>
    </row>
    <row r="287" spans="1:9" s="76" customFormat="1">
      <c r="A287" s="74"/>
      <c r="B287" s="75"/>
      <c r="C287" s="76" t="str">
        <f t="shared" si="12"/>
        <v/>
      </c>
      <c r="D287" s="74"/>
      <c r="E287" s="75"/>
      <c r="F287" s="76" t="str">
        <f t="shared" si="13"/>
        <v/>
      </c>
      <c r="G287" s="74"/>
      <c r="H287" s="75"/>
      <c r="I287" s="76" t="str">
        <f t="shared" si="14"/>
        <v/>
      </c>
    </row>
    <row r="288" spans="1:9" s="76" customFormat="1">
      <c r="A288" s="74"/>
      <c r="B288" s="75"/>
      <c r="C288" s="76" t="str">
        <f t="shared" si="12"/>
        <v/>
      </c>
      <c r="D288" s="74"/>
      <c r="E288" s="75"/>
      <c r="F288" s="76" t="str">
        <f t="shared" si="13"/>
        <v/>
      </c>
      <c r="G288" s="74"/>
      <c r="H288" s="75"/>
      <c r="I288" s="76" t="str">
        <f t="shared" si="14"/>
        <v/>
      </c>
    </row>
    <row r="289" spans="1:9" s="76" customFormat="1">
      <c r="A289" s="74"/>
      <c r="B289" s="75"/>
      <c r="C289" s="76" t="str">
        <f t="shared" si="12"/>
        <v/>
      </c>
      <c r="D289" s="74"/>
      <c r="E289" s="75"/>
      <c r="F289" s="76" t="str">
        <f t="shared" si="13"/>
        <v/>
      </c>
      <c r="G289" s="74"/>
      <c r="H289" s="75"/>
      <c r="I289" s="76" t="str">
        <f t="shared" si="14"/>
        <v/>
      </c>
    </row>
    <row r="290" spans="1:9" s="76" customFormat="1">
      <c r="A290" s="74"/>
      <c r="B290" s="75"/>
      <c r="C290" s="76" t="str">
        <f t="shared" si="12"/>
        <v/>
      </c>
      <c r="D290" s="74"/>
      <c r="E290" s="75"/>
      <c r="F290" s="76" t="str">
        <f t="shared" si="13"/>
        <v/>
      </c>
      <c r="G290" s="74"/>
      <c r="H290" s="75"/>
      <c r="I290" s="76" t="str">
        <f t="shared" si="14"/>
        <v/>
      </c>
    </row>
    <row r="291" spans="1:9" s="76" customFormat="1">
      <c r="A291" s="74"/>
      <c r="B291" s="75"/>
      <c r="C291" s="76" t="str">
        <f t="shared" si="12"/>
        <v/>
      </c>
      <c r="D291" s="74"/>
      <c r="E291" s="75"/>
      <c r="F291" s="76" t="str">
        <f t="shared" si="13"/>
        <v/>
      </c>
      <c r="G291" s="74"/>
      <c r="H291" s="75"/>
      <c r="I291" s="76" t="str">
        <f t="shared" si="14"/>
        <v/>
      </c>
    </row>
    <row r="292" spans="1:9" s="76" customFormat="1">
      <c r="A292" s="74"/>
      <c r="B292" s="75"/>
      <c r="C292" s="76" t="str">
        <f t="shared" si="12"/>
        <v/>
      </c>
      <c r="D292" s="74"/>
      <c r="E292" s="75"/>
      <c r="F292" s="76" t="str">
        <f t="shared" si="13"/>
        <v/>
      </c>
      <c r="G292" s="74"/>
      <c r="H292" s="75"/>
      <c r="I292" s="76" t="str">
        <f t="shared" si="14"/>
        <v/>
      </c>
    </row>
    <row r="293" spans="1:9" s="76" customFormat="1">
      <c r="A293" s="74"/>
      <c r="B293" s="75"/>
      <c r="C293" s="76" t="str">
        <f t="shared" si="12"/>
        <v/>
      </c>
      <c r="D293" s="74"/>
      <c r="E293" s="75"/>
      <c r="F293" s="76" t="str">
        <f t="shared" si="13"/>
        <v/>
      </c>
      <c r="G293" s="74"/>
      <c r="H293" s="75"/>
      <c r="I293" s="76" t="str">
        <f t="shared" si="14"/>
        <v/>
      </c>
    </row>
    <row r="294" spans="1:9" s="76" customFormat="1">
      <c r="A294" s="74"/>
      <c r="B294" s="75"/>
      <c r="C294" s="76" t="str">
        <f t="shared" si="12"/>
        <v/>
      </c>
      <c r="D294" s="74"/>
      <c r="E294" s="75"/>
      <c r="F294" s="76" t="str">
        <f t="shared" si="13"/>
        <v/>
      </c>
      <c r="G294" s="74"/>
      <c r="H294" s="75"/>
      <c r="I294" s="76" t="str">
        <f t="shared" si="14"/>
        <v/>
      </c>
    </row>
    <row r="295" spans="1:9" s="76" customFormat="1">
      <c r="A295" s="74"/>
      <c r="B295" s="75"/>
      <c r="C295" s="76" t="str">
        <f t="shared" si="12"/>
        <v/>
      </c>
      <c r="D295" s="74"/>
      <c r="E295" s="75"/>
      <c r="F295" s="76" t="str">
        <f t="shared" si="13"/>
        <v/>
      </c>
      <c r="G295" s="74"/>
      <c r="H295" s="75"/>
      <c r="I295" s="76" t="str">
        <f t="shared" si="14"/>
        <v/>
      </c>
    </row>
    <row r="296" spans="1:9" s="76" customFormat="1">
      <c r="A296" s="74"/>
      <c r="B296" s="75"/>
      <c r="C296" s="76" t="str">
        <f t="shared" si="12"/>
        <v/>
      </c>
      <c r="D296" s="74"/>
      <c r="E296" s="75"/>
      <c r="F296" s="76" t="str">
        <f t="shared" si="13"/>
        <v/>
      </c>
      <c r="G296" s="74"/>
      <c r="H296" s="75"/>
      <c r="I296" s="76" t="str">
        <f t="shared" si="14"/>
        <v/>
      </c>
    </row>
    <row r="297" spans="1:9" s="76" customFormat="1">
      <c r="A297" s="74"/>
      <c r="B297" s="75"/>
      <c r="C297" s="76" t="str">
        <f t="shared" si="12"/>
        <v/>
      </c>
      <c r="D297" s="74"/>
      <c r="E297" s="75"/>
      <c r="F297" s="76" t="str">
        <f t="shared" si="13"/>
        <v/>
      </c>
      <c r="G297" s="74"/>
      <c r="H297" s="75"/>
      <c r="I297" s="76" t="str">
        <f t="shared" si="14"/>
        <v/>
      </c>
    </row>
    <row r="298" spans="1:9" s="76" customFormat="1">
      <c r="A298" s="74"/>
      <c r="B298" s="75"/>
      <c r="C298" s="76" t="str">
        <f t="shared" si="12"/>
        <v/>
      </c>
      <c r="D298" s="74"/>
      <c r="E298" s="75"/>
      <c r="F298" s="76" t="str">
        <f t="shared" si="13"/>
        <v/>
      </c>
      <c r="G298" s="74"/>
      <c r="H298" s="75"/>
      <c r="I298" s="76" t="str">
        <f t="shared" si="14"/>
        <v/>
      </c>
    </row>
    <row r="299" spans="1:9" s="76" customFormat="1">
      <c r="A299" s="74"/>
      <c r="B299" s="75"/>
      <c r="C299" s="76" t="str">
        <f t="shared" si="12"/>
        <v/>
      </c>
      <c r="D299" s="74"/>
      <c r="E299" s="75"/>
      <c r="F299" s="76" t="str">
        <f t="shared" si="13"/>
        <v/>
      </c>
      <c r="G299" s="74"/>
      <c r="H299" s="75"/>
      <c r="I299" s="76" t="str">
        <f t="shared" si="14"/>
        <v/>
      </c>
    </row>
    <row r="300" spans="1:9" s="76" customFormat="1">
      <c r="A300" s="74"/>
      <c r="B300" s="75"/>
      <c r="C300" s="76" t="str">
        <f t="shared" si="12"/>
        <v/>
      </c>
      <c r="D300" s="74"/>
      <c r="E300" s="75"/>
      <c r="F300" s="76" t="str">
        <f t="shared" si="13"/>
        <v/>
      </c>
      <c r="G300" s="74"/>
      <c r="H300" s="75"/>
      <c r="I300" s="76" t="str">
        <f t="shared" si="14"/>
        <v/>
      </c>
    </row>
    <row r="301" spans="1:9" s="76" customFormat="1">
      <c r="A301" s="74"/>
      <c r="B301" s="75"/>
      <c r="C301" s="76" t="str">
        <f t="shared" si="12"/>
        <v/>
      </c>
      <c r="D301" s="74"/>
      <c r="E301" s="75"/>
      <c r="F301" s="76" t="str">
        <f t="shared" si="13"/>
        <v/>
      </c>
      <c r="G301" s="74"/>
      <c r="H301" s="75"/>
      <c r="I301" s="76" t="str">
        <f t="shared" si="14"/>
        <v/>
      </c>
    </row>
    <row r="302" spans="1:9" s="76" customFormat="1">
      <c r="A302" s="74"/>
      <c r="B302" s="78"/>
      <c r="C302" s="76" t="str">
        <f t="shared" si="12"/>
        <v/>
      </c>
      <c r="D302" s="74"/>
      <c r="E302" s="78"/>
      <c r="F302" s="76" t="str">
        <f t="shared" si="13"/>
        <v/>
      </c>
      <c r="G302" s="74"/>
      <c r="H302" s="78"/>
      <c r="I302" s="76" t="str">
        <f t="shared" si="14"/>
        <v/>
      </c>
    </row>
    <row r="303" spans="1:9" s="76" customFormat="1">
      <c r="A303" s="74"/>
      <c r="B303" s="78"/>
      <c r="C303" s="76" t="str">
        <f t="shared" si="12"/>
        <v/>
      </c>
      <c r="D303" s="74"/>
      <c r="E303" s="78"/>
      <c r="F303" s="76" t="str">
        <f t="shared" si="13"/>
        <v/>
      </c>
      <c r="G303" s="74"/>
      <c r="H303" s="78"/>
      <c r="I303" s="76" t="str">
        <f t="shared" si="14"/>
        <v/>
      </c>
    </row>
    <row r="304" spans="1:9" s="76" customFormat="1">
      <c r="A304" s="74"/>
      <c r="B304" s="78"/>
      <c r="C304" s="76" t="str">
        <f t="shared" si="12"/>
        <v/>
      </c>
      <c r="D304" s="74"/>
      <c r="E304" s="78"/>
      <c r="F304" s="76" t="str">
        <f t="shared" si="13"/>
        <v/>
      </c>
      <c r="G304" s="74"/>
      <c r="H304" s="78"/>
      <c r="I304" s="76" t="str">
        <f t="shared" si="14"/>
        <v/>
      </c>
    </row>
    <row r="305" spans="1:7" s="76" customFormat="1">
      <c r="A305" s="76" t="s">
        <v>346</v>
      </c>
      <c r="D305" s="76" t="s">
        <v>346</v>
      </c>
      <c r="G305" s="76" t="s">
        <v>346</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44140625" defaultRowHeight="12"/>
  <cols>
    <col min="1" max="1" width="7.5546875" style="174" bestFit="1" customWidth="1"/>
    <col min="2" max="2" width="8.44140625" style="175" bestFit="1" customWidth="1"/>
    <col min="3" max="3" width="15.6640625" style="176" customWidth="1"/>
    <col min="4" max="4" width="47.109375" style="177" customWidth="1"/>
    <col min="5" max="5" width="56.109375" style="177" customWidth="1"/>
    <col min="6" max="6" width="57.44140625" style="174" customWidth="1"/>
    <col min="7" max="26" width="73.44140625" style="174"/>
    <col min="27" max="27" width="73.44140625" style="174" hidden="1" customWidth="1"/>
    <col min="28" max="29" width="73.44140625" style="174"/>
    <col min="30" max="30" width="0" style="174" hidden="1" customWidth="1"/>
    <col min="31" max="16384" width="73.44140625" style="174"/>
  </cols>
  <sheetData>
    <row r="1" spans="1:6" s="172" customFormat="1">
      <c r="A1" s="172" t="s">
        <v>347</v>
      </c>
      <c r="B1" s="172" t="s">
        <v>348</v>
      </c>
      <c r="C1" s="173" t="s">
        <v>349</v>
      </c>
      <c r="D1" s="173" t="s">
        <v>350</v>
      </c>
      <c r="E1" s="173" t="s">
        <v>351</v>
      </c>
      <c r="F1" s="172" t="s">
        <v>352</v>
      </c>
    </row>
    <row r="2" spans="1:6" ht="84">
      <c r="A2" s="174" t="s">
        <v>353</v>
      </c>
      <c r="B2" s="175">
        <v>1</v>
      </c>
      <c r="C2" s="176" t="s">
        <v>354</v>
      </c>
      <c r="D2" s="177" t="s">
        <v>355</v>
      </c>
      <c r="E2" s="177" t="s">
        <v>356</v>
      </c>
      <c r="F2" s="177" t="s">
        <v>356</v>
      </c>
    </row>
    <row r="3" spans="1:6" ht="108">
      <c r="A3" s="178">
        <v>650</v>
      </c>
      <c r="B3" s="175">
        <v>2</v>
      </c>
      <c r="C3" s="176" t="s">
        <v>354</v>
      </c>
      <c r="D3" s="177" t="s">
        <v>357</v>
      </c>
      <c r="E3" s="177" t="s">
        <v>358</v>
      </c>
      <c r="F3" s="177" t="s">
        <v>358</v>
      </c>
    </row>
    <row r="4" spans="1:6" ht="66">
      <c r="B4" s="175">
        <v>3</v>
      </c>
      <c r="C4" s="176" t="s">
        <v>354</v>
      </c>
      <c r="D4" s="177" t="s">
        <v>359</v>
      </c>
      <c r="E4" s="177" t="s">
        <v>360</v>
      </c>
      <c r="F4" s="177" t="s">
        <v>360</v>
      </c>
    </row>
    <row r="5" spans="1:6" ht="66">
      <c r="B5" s="175">
        <v>4</v>
      </c>
      <c r="C5" s="176" t="s">
        <v>354</v>
      </c>
      <c r="D5" s="177" t="s">
        <v>361</v>
      </c>
      <c r="E5" s="177" t="s">
        <v>362</v>
      </c>
      <c r="F5" s="177" t="s">
        <v>362</v>
      </c>
    </row>
    <row r="6" spans="1:6" ht="66">
      <c r="B6" s="175">
        <v>5</v>
      </c>
      <c r="C6" s="176" t="s">
        <v>354</v>
      </c>
      <c r="D6" s="177" t="s">
        <v>363</v>
      </c>
      <c r="E6" s="177" t="s">
        <v>364</v>
      </c>
      <c r="F6" s="177" t="s">
        <v>364</v>
      </c>
    </row>
    <row r="7" spans="1:6" ht="52.8">
      <c r="B7" s="175">
        <v>6</v>
      </c>
      <c r="C7" s="176" t="s">
        <v>354</v>
      </c>
      <c r="D7" s="177" t="s">
        <v>365</v>
      </c>
      <c r="E7" s="177" t="s">
        <v>366</v>
      </c>
      <c r="F7" s="177" t="s">
        <v>366</v>
      </c>
    </row>
    <row r="8" spans="1:6" ht="13.2">
      <c r="B8" s="175">
        <v>7</v>
      </c>
      <c r="C8" s="176" t="s">
        <v>354</v>
      </c>
      <c r="D8" s="177" t="s">
        <v>367</v>
      </c>
      <c r="E8" s="177" t="s">
        <v>368</v>
      </c>
      <c r="F8" s="177" t="s">
        <v>368</v>
      </c>
    </row>
    <row r="9" spans="1:6" ht="60">
      <c r="B9" s="175">
        <v>8</v>
      </c>
      <c r="C9" s="176" t="s">
        <v>369</v>
      </c>
      <c r="D9" s="177" t="s">
        <v>370</v>
      </c>
      <c r="E9" s="193" t="s">
        <v>371</v>
      </c>
      <c r="F9" s="193" t="s">
        <v>371</v>
      </c>
    </row>
    <row r="10" spans="1:6" ht="48">
      <c r="B10" s="175">
        <v>9</v>
      </c>
      <c r="C10" s="176" t="s">
        <v>369</v>
      </c>
      <c r="D10" s="177" t="s">
        <v>36</v>
      </c>
      <c r="E10" s="177" t="s">
        <v>372</v>
      </c>
      <c r="F10" s="177" t="s">
        <v>372</v>
      </c>
    </row>
    <row r="11" spans="1:6" ht="60">
      <c r="B11" s="175">
        <v>10</v>
      </c>
      <c r="C11" s="176" t="s">
        <v>369</v>
      </c>
      <c r="D11" s="177" t="s">
        <v>39</v>
      </c>
      <c r="E11" s="177" t="s">
        <v>373</v>
      </c>
      <c r="F11" s="177" t="s">
        <v>373</v>
      </c>
    </row>
    <row r="12" spans="1:6" ht="52.8">
      <c r="B12" s="175">
        <v>11</v>
      </c>
      <c r="C12" s="176" t="s">
        <v>369</v>
      </c>
      <c r="D12" s="177" t="s">
        <v>374</v>
      </c>
      <c r="E12" s="177" t="s">
        <v>375</v>
      </c>
      <c r="F12" s="177" t="s">
        <v>375</v>
      </c>
    </row>
    <row r="13" spans="1:6" ht="84">
      <c r="B13" s="175">
        <v>12</v>
      </c>
      <c r="C13" s="176" t="s">
        <v>369</v>
      </c>
      <c r="D13" s="177" t="s">
        <v>49</v>
      </c>
      <c r="E13" s="177" t="s">
        <v>376</v>
      </c>
      <c r="F13" s="177" t="s">
        <v>376</v>
      </c>
    </row>
    <row r="14" spans="1:6" ht="48">
      <c r="B14" s="175">
        <v>13</v>
      </c>
      <c r="C14" s="176" t="s">
        <v>354</v>
      </c>
      <c r="D14" s="177" t="s">
        <v>377</v>
      </c>
      <c r="E14" s="177" t="s">
        <v>378</v>
      </c>
      <c r="F14" s="177" t="s">
        <v>378</v>
      </c>
    </row>
    <row r="15" spans="1:6" ht="39.6">
      <c r="B15" s="175">
        <v>14</v>
      </c>
      <c r="C15" s="176" t="s">
        <v>354</v>
      </c>
      <c r="D15" s="177" t="s">
        <v>379</v>
      </c>
      <c r="E15" s="177" t="s">
        <v>380</v>
      </c>
      <c r="F15" s="177" t="s">
        <v>380</v>
      </c>
    </row>
    <row r="16" spans="1:6" ht="13.2">
      <c r="B16" s="175">
        <v>15</v>
      </c>
      <c r="C16" s="176" t="s">
        <v>354</v>
      </c>
      <c r="D16" s="177" t="s">
        <v>381</v>
      </c>
      <c r="E16" s="177" t="s">
        <v>382</v>
      </c>
      <c r="F16" s="177" t="s">
        <v>382</v>
      </c>
    </row>
    <row r="17" spans="1:6" ht="13.2">
      <c r="B17" s="175">
        <v>101</v>
      </c>
      <c r="D17" s="177" t="s">
        <v>383</v>
      </c>
      <c r="E17" s="177" t="s">
        <v>384</v>
      </c>
      <c r="F17" s="177" t="s">
        <v>384</v>
      </c>
    </row>
    <row r="18" spans="1:6" ht="13.2">
      <c r="B18" s="175">
        <v>102</v>
      </c>
      <c r="D18" s="177" t="s">
        <v>385</v>
      </c>
      <c r="E18" s="177" t="s">
        <v>386</v>
      </c>
      <c r="F18" s="177" t="s">
        <v>386</v>
      </c>
    </row>
    <row r="19" spans="1:6" ht="13.2">
      <c r="B19" s="175">
        <v>103</v>
      </c>
      <c r="D19" s="177" t="s">
        <v>387</v>
      </c>
      <c r="E19" s="177" t="s">
        <v>388</v>
      </c>
      <c r="F19" s="177" t="s">
        <v>388</v>
      </c>
    </row>
    <row r="20" spans="1:6" ht="13.2">
      <c r="B20" s="175">
        <v>104</v>
      </c>
      <c r="D20" s="177" t="s">
        <v>389</v>
      </c>
      <c r="E20" s="177" t="s">
        <v>390</v>
      </c>
      <c r="F20" s="177" t="s">
        <v>390</v>
      </c>
    </row>
    <row r="21" spans="1:6" ht="13.2">
      <c r="B21" s="175">
        <v>105</v>
      </c>
      <c r="D21" s="177" t="s">
        <v>391</v>
      </c>
      <c r="E21" s="177" t="s">
        <v>392</v>
      </c>
      <c r="F21" s="177" t="s">
        <v>392</v>
      </c>
    </row>
    <row r="22" spans="1:6" ht="24">
      <c r="B22" s="175">
        <v>106</v>
      </c>
      <c r="D22" s="177" t="s">
        <v>393</v>
      </c>
      <c r="E22" s="177" t="s">
        <v>394</v>
      </c>
      <c r="F22" s="177" t="s">
        <v>394</v>
      </c>
    </row>
    <row r="23" spans="1:6" ht="39.6">
      <c r="B23" s="175">
        <v>107</v>
      </c>
      <c r="D23" s="177" t="s">
        <v>395</v>
      </c>
      <c r="E23" s="177" t="s">
        <v>396</v>
      </c>
      <c r="F23" s="177" t="s">
        <v>396</v>
      </c>
    </row>
    <row r="24" spans="1:6" ht="39.6">
      <c r="B24" s="175">
        <v>108</v>
      </c>
      <c r="D24" s="177" t="s">
        <v>397</v>
      </c>
      <c r="E24" s="177" t="s">
        <v>398</v>
      </c>
      <c r="F24" s="177" t="s">
        <v>398</v>
      </c>
    </row>
    <row r="25" spans="1:6" ht="13.2">
      <c r="B25" s="175">
        <v>109</v>
      </c>
      <c r="D25" s="177" t="s">
        <v>399</v>
      </c>
      <c r="E25" s="177" t="s">
        <v>400</v>
      </c>
      <c r="F25" s="177" t="s">
        <v>400</v>
      </c>
    </row>
    <row r="26" spans="1:6" ht="13.2">
      <c r="B26" s="175">
        <v>110</v>
      </c>
      <c r="D26" s="177" t="s">
        <v>401</v>
      </c>
      <c r="E26" s="177" t="s">
        <v>402</v>
      </c>
      <c r="F26" s="177" t="s">
        <v>402</v>
      </c>
    </row>
    <row r="27" spans="1:6" ht="13.2">
      <c r="B27" s="175">
        <v>111</v>
      </c>
      <c r="D27" s="177" t="s">
        <v>403</v>
      </c>
      <c r="E27" s="177" t="s">
        <v>404</v>
      </c>
      <c r="F27" s="177" t="s">
        <v>404</v>
      </c>
    </row>
    <row r="28" spans="1:6" ht="13.2">
      <c r="A28" s="179"/>
      <c r="B28" s="175">
        <v>112</v>
      </c>
      <c r="C28" s="180" t="s">
        <v>405</v>
      </c>
      <c r="D28" s="178" t="s">
        <v>406</v>
      </c>
      <c r="E28" s="178" t="s">
        <v>407</v>
      </c>
      <c r="F28" s="178" t="s">
        <v>407</v>
      </c>
    </row>
    <row r="29" spans="1:6" ht="13.2">
      <c r="B29" s="175">
        <v>113</v>
      </c>
      <c r="D29" s="177" t="s">
        <v>408</v>
      </c>
      <c r="E29" s="177" t="s">
        <v>407</v>
      </c>
      <c r="F29" s="177" t="s">
        <v>407</v>
      </c>
    </row>
    <row r="30" spans="1:6" ht="13.2">
      <c r="B30" s="175">
        <v>114</v>
      </c>
      <c r="C30" s="176" t="s">
        <v>409</v>
      </c>
      <c r="D30" s="177" t="s">
        <v>410</v>
      </c>
      <c r="E30" s="177" t="s">
        <v>411</v>
      </c>
      <c r="F30" s="177" t="s">
        <v>411</v>
      </c>
    </row>
    <row r="31" spans="1:6" ht="13.2">
      <c r="B31" s="175">
        <v>115</v>
      </c>
      <c r="D31" s="177" t="s">
        <v>412</v>
      </c>
      <c r="E31" s="177" t="s">
        <v>413</v>
      </c>
      <c r="F31" s="177" t="s">
        <v>413</v>
      </c>
    </row>
    <row r="32" spans="1:6" ht="24">
      <c r="B32" s="175">
        <v>116</v>
      </c>
      <c r="D32" s="177" t="s">
        <v>414</v>
      </c>
      <c r="E32" s="177" t="s">
        <v>415</v>
      </c>
      <c r="F32" s="177" t="s">
        <v>415</v>
      </c>
    </row>
    <row r="33" spans="2:6" ht="13.2">
      <c r="B33" s="175">
        <v>117</v>
      </c>
      <c r="D33" s="177" t="s">
        <v>416</v>
      </c>
      <c r="E33" s="177" t="s">
        <v>417</v>
      </c>
      <c r="F33" s="177" t="s">
        <v>417</v>
      </c>
    </row>
    <row r="34" spans="2:6" ht="26.4">
      <c r="B34" s="175">
        <v>118</v>
      </c>
      <c r="D34" s="177" t="s">
        <v>418</v>
      </c>
      <c r="E34" s="177" t="s">
        <v>419</v>
      </c>
      <c r="F34" s="177" t="s">
        <v>419</v>
      </c>
    </row>
    <row r="35" spans="2:6" ht="13.2">
      <c r="B35" s="175">
        <v>119</v>
      </c>
      <c r="D35" s="177" t="s">
        <v>420</v>
      </c>
      <c r="E35" s="177" t="s">
        <v>421</v>
      </c>
      <c r="F35" s="177" t="s">
        <v>421</v>
      </c>
    </row>
    <row r="36" spans="2:6" ht="13.2">
      <c r="B36" s="175">
        <v>120</v>
      </c>
      <c r="D36" s="177" t="s">
        <v>422</v>
      </c>
      <c r="E36" s="177" t="s">
        <v>423</v>
      </c>
      <c r="F36" s="177" t="s">
        <v>423</v>
      </c>
    </row>
    <row r="37" spans="2:6" ht="26.4">
      <c r="B37" s="175">
        <v>121</v>
      </c>
      <c r="D37" s="177" t="s">
        <v>424</v>
      </c>
      <c r="E37" s="177" t="s">
        <v>425</v>
      </c>
      <c r="F37" s="177" t="s">
        <v>425</v>
      </c>
    </row>
    <row r="38" spans="2:6" ht="13.2">
      <c r="B38" s="175">
        <v>122</v>
      </c>
      <c r="D38" s="177" t="s">
        <v>426</v>
      </c>
      <c r="E38" s="177" t="s">
        <v>427</v>
      </c>
      <c r="F38" s="177" t="s">
        <v>427</v>
      </c>
    </row>
    <row r="39" spans="2:6" ht="13.2">
      <c r="B39" s="175">
        <v>123</v>
      </c>
      <c r="D39" s="177" t="s">
        <v>428</v>
      </c>
      <c r="E39" s="177" t="s">
        <v>429</v>
      </c>
      <c r="F39" s="177" t="s">
        <v>429</v>
      </c>
    </row>
    <row r="40" spans="2:6" ht="13.2">
      <c r="B40" s="175">
        <v>124</v>
      </c>
      <c r="D40" s="177" t="s">
        <v>430</v>
      </c>
      <c r="E40" s="177" t="s">
        <v>431</v>
      </c>
      <c r="F40" s="177" t="s">
        <v>431</v>
      </c>
    </row>
    <row r="41" spans="2:6" ht="24">
      <c r="B41" s="175">
        <v>125</v>
      </c>
      <c r="D41" s="177" t="s">
        <v>432</v>
      </c>
      <c r="E41" s="177" t="s">
        <v>433</v>
      </c>
      <c r="F41" s="177" t="s">
        <v>433</v>
      </c>
    </row>
    <row r="42" spans="2:6" ht="24">
      <c r="B42" s="175">
        <v>126</v>
      </c>
      <c r="D42" s="177" t="s">
        <v>434</v>
      </c>
      <c r="E42" s="177" t="s">
        <v>435</v>
      </c>
      <c r="F42" s="177" t="s">
        <v>435</v>
      </c>
    </row>
    <row r="43" spans="2:6" ht="24">
      <c r="B43" s="175">
        <v>127</v>
      </c>
      <c r="D43" s="177" t="s">
        <v>436</v>
      </c>
      <c r="E43" s="177" t="s">
        <v>437</v>
      </c>
      <c r="F43" s="177" t="s">
        <v>437</v>
      </c>
    </row>
    <row r="44" spans="2:6" ht="24">
      <c r="B44" s="175">
        <v>128</v>
      </c>
      <c r="D44" s="177" t="s">
        <v>438</v>
      </c>
      <c r="E44" s="177" t="s">
        <v>439</v>
      </c>
      <c r="F44" s="177" t="s">
        <v>439</v>
      </c>
    </row>
    <row r="45" spans="2:6" ht="26.4">
      <c r="B45" s="175">
        <v>129</v>
      </c>
      <c r="D45" s="177" t="s">
        <v>440</v>
      </c>
      <c r="E45" s="177" t="s">
        <v>441</v>
      </c>
      <c r="F45" s="177" t="s">
        <v>441</v>
      </c>
    </row>
    <row r="46" spans="2:6" ht="13.2">
      <c r="B46" s="175">
        <v>130</v>
      </c>
      <c r="D46" s="177" t="s">
        <v>442</v>
      </c>
      <c r="E46" s="177" t="s">
        <v>443</v>
      </c>
      <c r="F46" s="177" t="s">
        <v>443</v>
      </c>
    </row>
    <row r="47" spans="2:6" ht="13.2">
      <c r="B47" s="175">
        <v>131</v>
      </c>
      <c r="D47" s="177" t="s">
        <v>444</v>
      </c>
      <c r="E47" s="177" t="s">
        <v>445</v>
      </c>
      <c r="F47" s="177" t="s">
        <v>445</v>
      </c>
    </row>
    <row r="48" spans="2:6" ht="13.2">
      <c r="B48" s="175">
        <v>132</v>
      </c>
      <c r="D48" s="177" t="s">
        <v>446</v>
      </c>
      <c r="E48" s="177" t="s">
        <v>447</v>
      </c>
      <c r="F48" s="177" t="s">
        <v>447</v>
      </c>
    </row>
    <row r="49" spans="2:6" ht="13.2">
      <c r="B49" s="175">
        <v>133</v>
      </c>
      <c r="D49" s="177" t="s">
        <v>448</v>
      </c>
      <c r="E49" s="177" t="s">
        <v>449</v>
      </c>
      <c r="F49" s="177" t="s">
        <v>449</v>
      </c>
    </row>
    <row r="50" spans="2:6" ht="13.2">
      <c r="B50" s="175">
        <v>134</v>
      </c>
      <c r="D50" s="177" t="s">
        <v>450</v>
      </c>
      <c r="E50" s="177" t="s">
        <v>451</v>
      </c>
      <c r="F50" s="177" t="s">
        <v>451</v>
      </c>
    </row>
    <row r="51" spans="2:6">
      <c r="B51" s="175">
        <v>135</v>
      </c>
      <c r="D51" s="178" t="s">
        <v>452</v>
      </c>
      <c r="E51" s="181">
        <v>43435</v>
      </c>
      <c r="F51" s="181">
        <v>43435</v>
      </c>
    </row>
    <row r="52" spans="2:6">
      <c r="B52" s="175">
        <v>136</v>
      </c>
      <c r="D52" s="178" t="s">
        <v>453</v>
      </c>
      <c r="E52" s="181">
        <v>43465</v>
      </c>
      <c r="F52" s="181">
        <v>43465</v>
      </c>
    </row>
    <row r="53" spans="2:6">
      <c r="B53" s="175">
        <v>137</v>
      </c>
      <c r="D53" s="177" t="s">
        <v>454</v>
      </c>
      <c r="E53" s="177" t="s">
        <v>454</v>
      </c>
      <c r="F53" s="177" t="s">
        <v>454</v>
      </c>
    </row>
    <row r="54" spans="2:6" ht="13.2">
      <c r="B54" s="175">
        <v>138</v>
      </c>
      <c r="D54" s="177" t="s">
        <v>455</v>
      </c>
      <c r="E54" s="177" t="s">
        <v>456</v>
      </c>
      <c r="F54" s="177" t="s">
        <v>456</v>
      </c>
    </row>
    <row r="55" spans="2:6" ht="13.2">
      <c r="B55" s="175">
        <v>139</v>
      </c>
      <c r="C55" s="176" t="s">
        <v>457</v>
      </c>
      <c r="D55" s="177" t="s">
        <v>458</v>
      </c>
      <c r="E55" s="177" t="s">
        <v>459</v>
      </c>
      <c r="F55" s="177" t="s">
        <v>459</v>
      </c>
    </row>
    <row r="56" spans="2:6" ht="26.4">
      <c r="B56" s="175">
        <v>140</v>
      </c>
      <c r="D56" s="177" t="s">
        <v>460</v>
      </c>
      <c r="E56" s="177" t="s">
        <v>461</v>
      </c>
      <c r="F56" s="177" t="s">
        <v>461</v>
      </c>
    </row>
    <row r="57" spans="2:6" ht="26.4">
      <c r="B57" s="175">
        <v>141</v>
      </c>
      <c r="D57" s="177" t="s">
        <v>462</v>
      </c>
      <c r="E57" s="177" t="s">
        <v>463</v>
      </c>
      <c r="F57" s="177" t="s">
        <v>463</v>
      </c>
    </row>
    <row r="58" spans="2:6" ht="13.2">
      <c r="B58" s="175">
        <v>142</v>
      </c>
      <c r="D58" s="177" t="s">
        <v>464</v>
      </c>
      <c r="E58" s="177" t="s">
        <v>465</v>
      </c>
      <c r="F58" s="177" t="s">
        <v>465</v>
      </c>
    </row>
    <row r="59" spans="2:6" ht="13.2">
      <c r="B59" s="175">
        <v>143</v>
      </c>
      <c r="C59" s="176" t="s">
        <v>466</v>
      </c>
      <c r="D59" s="174" t="s">
        <v>467</v>
      </c>
      <c r="E59" s="182" t="s">
        <v>468</v>
      </c>
      <c r="F59" s="182" t="s">
        <v>468</v>
      </c>
    </row>
    <row r="60" spans="2:6" ht="13.2">
      <c r="B60" s="175">
        <v>144</v>
      </c>
      <c r="D60" s="177" t="s">
        <v>469</v>
      </c>
      <c r="E60" s="177" t="s">
        <v>470</v>
      </c>
      <c r="F60" s="177" t="s">
        <v>470</v>
      </c>
    </row>
    <row r="61" spans="2:6" ht="26.4">
      <c r="B61" s="175">
        <v>145</v>
      </c>
      <c r="D61" s="177" t="s">
        <v>471</v>
      </c>
      <c r="E61" s="177" t="s">
        <v>472</v>
      </c>
      <c r="F61" s="177" t="s">
        <v>472</v>
      </c>
    </row>
    <row r="62" spans="2:6" ht="13.2">
      <c r="B62" s="175">
        <v>146</v>
      </c>
      <c r="D62" s="177" t="s">
        <v>473</v>
      </c>
      <c r="E62" s="177" t="s">
        <v>474</v>
      </c>
      <c r="F62" s="177" t="s">
        <v>474</v>
      </c>
    </row>
    <row r="63" spans="2:6" ht="26.4">
      <c r="B63" s="175">
        <v>147</v>
      </c>
      <c r="D63" s="177" t="s">
        <v>475</v>
      </c>
      <c r="E63" s="177" t="s">
        <v>476</v>
      </c>
      <c r="F63" s="177" t="s">
        <v>476</v>
      </c>
    </row>
    <row r="64" spans="2:6" ht="13.2">
      <c r="B64" s="175">
        <v>148</v>
      </c>
      <c r="D64" s="177" t="s">
        <v>477</v>
      </c>
      <c r="E64" s="177" t="s">
        <v>478</v>
      </c>
      <c r="F64" s="177" t="s">
        <v>478</v>
      </c>
    </row>
    <row r="65" spans="1:6" ht="13.2">
      <c r="B65" s="175">
        <v>149</v>
      </c>
      <c r="D65" s="177" t="s">
        <v>479</v>
      </c>
      <c r="E65" s="177" t="s">
        <v>480</v>
      </c>
      <c r="F65" s="177" t="s">
        <v>480</v>
      </c>
    </row>
    <row r="66" spans="1:6" ht="13.2">
      <c r="B66" s="175">
        <v>150</v>
      </c>
      <c r="D66" s="177" t="s">
        <v>481</v>
      </c>
      <c r="E66" s="177" t="s">
        <v>482</v>
      </c>
      <c r="F66" s="177" t="s">
        <v>482</v>
      </c>
    </row>
    <row r="67" spans="1:6" ht="13.2">
      <c r="B67" s="175">
        <v>151</v>
      </c>
      <c r="C67" s="176" t="s">
        <v>466</v>
      </c>
      <c r="D67" s="174" t="s">
        <v>483</v>
      </c>
      <c r="E67" s="182" t="s">
        <v>484</v>
      </c>
      <c r="F67" s="182" t="s">
        <v>484</v>
      </c>
    </row>
    <row r="68" spans="1:6" ht="13.2">
      <c r="B68" s="175">
        <v>152</v>
      </c>
      <c r="D68" s="177" t="s">
        <v>485</v>
      </c>
      <c r="E68" s="177" t="s">
        <v>486</v>
      </c>
      <c r="F68" s="177" t="s">
        <v>486</v>
      </c>
    </row>
    <row r="69" spans="1:6" ht="13.2">
      <c r="B69" s="175">
        <v>153</v>
      </c>
      <c r="D69" s="177" t="s">
        <v>487</v>
      </c>
      <c r="E69" s="177" t="s">
        <v>488</v>
      </c>
      <c r="F69" s="177" t="s">
        <v>488</v>
      </c>
    </row>
    <row r="70" spans="1:6" ht="13.2">
      <c r="B70" s="175">
        <v>154</v>
      </c>
      <c r="D70" s="177" t="s">
        <v>489</v>
      </c>
      <c r="E70" s="177" t="s">
        <v>490</v>
      </c>
      <c r="F70" s="177" t="s">
        <v>490</v>
      </c>
    </row>
    <row r="71" spans="1:6" ht="26.4">
      <c r="B71" s="175">
        <v>155</v>
      </c>
      <c r="D71" s="177" t="s">
        <v>491</v>
      </c>
      <c r="E71" s="177" t="s">
        <v>492</v>
      </c>
      <c r="F71" s="177" t="s">
        <v>492</v>
      </c>
    </row>
    <row r="72" spans="1:6" ht="13.2">
      <c r="B72" s="175">
        <v>156</v>
      </c>
      <c r="C72" s="176" t="s">
        <v>466</v>
      </c>
      <c r="D72" s="174" t="s">
        <v>493</v>
      </c>
      <c r="E72" s="182" t="s">
        <v>494</v>
      </c>
      <c r="F72" s="182" t="s">
        <v>494</v>
      </c>
    </row>
    <row r="73" spans="1:6" ht="13.2">
      <c r="B73" s="175">
        <v>157</v>
      </c>
      <c r="C73" s="176" t="s">
        <v>466</v>
      </c>
      <c r="D73" s="174" t="s">
        <v>495</v>
      </c>
      <c r="E73" s="182" t="s">
        <v>496</v>
      </c>
      <c r="F73" s="182" t="s">
        <v>496</v>
      </c>
    </row>
    <row r="74" spans="1:6" ht="13.2">
      <c r="B74" s="175">
        <v>158</v>
      </c>
      <c r="D74" s="177" t="s">
        <v>497</v>
      </c>
      <c r="E74" s="177" t="s">
        <v>498</v>
      </c>
      <c r="F74" s="177" t="s">
        <v>498</v>
      </c>
    </row>
    <row r="75" spans="1:6" ht="13.2">
      <c r="A75" s="183"/>
      <c r="B75" s="175">
        <v>159</v>
      </c>
      <c r="C75" s="180" t="s">
        <v>405</v>
      </c>
      <c r="D75" s="178" t="s">
        <v>499</v>
      </c>
      <c r="E75" s="178" t="s">
        <v>500</v>
      </c>
      <c r="F75" s="178" t="s">
        <v>500</v>
      </c>
    </row>
    <row r="76" spans="1:6" ht="13.2">
      <c r="B76" s="175">
        <v>160</v>
      </c>
      <c r="D76" s="177" t="s">
        <v>501</v>
      </c>
      <c r="E76" s="178" t="s">
        <v>502</v>
      </c>
      <c r="F76" s="178" t="s">
        <v>502</v>
      </c>
    </row>
    <row r="77" spans="1:6" ht="13.2">
      <c r="B77" s="175">
        <v>161</v>
      </c>
      <c r="D77" s="177" t="s">
        <v>503</v>
      </c>
      <c r="E77" s="178" t="s">
        <v>504</v>
      </c>
      <c r="F77" s="178" t="s">
        <v>504</v>
      </c>
    </row>
    <row r="78" spans="1:6" ht="13.2">
      <c r="B78" s="175">
        <v>162</v>
      </c>
      <c r="D78" s="177" t="s">
        <v>505</v>
      </c>
      <c r="E78" s="177" t="s">
        <v>506</v>
      </c>
      <c r="F78" s="177" t="s">
        <v>506</v>
      </c>
    </row>
    <row r="79" spans="1:6" ht="13.2">
      <c r="B79" s="175">
        <v>163</v>
      </c>
      <c r="D79" s="177" t="s">
        <v>507</v>
      </c>
      <c r="E79" s="177" t="s">
        <v>508</v>
      </c>
      <c r="F79" s="177" t="s">
        <v>508</v>
      </c>
    </row>
    <row r="80" spans="1:6" ht="13.2">
      <c r="B80" s="175">
        <v>164</v>
      </c>
      <c r="D80" s="177" t="s">
        <v>509</v>
      </c>
      <c r="E80" s="177" t="s">
        <v>510</v>
      </c>
      <c r="F80" s="177" t="s">
        <v>510</v>
      </c>
    </row>
    <row r="81" spans="1:6" ht="13.2">
      <c r="A81" s="183"/>
      <c r="B81" s="175">
        <v>165</v>
      </c>
      <c r="C81" s="180" t="s">
        <v>405</v>
      </c>
      <c r="D81" s="178" t="s">
        <v>511</v>
      </c>
      <c r="E81" s="178" t="s">
        <v>512</v>
      </c>
      <c r="F81" s="178" t="s">
        <v>512</v>
      </c>
    </row>
    <row r="82" spans="1:6" ht="13.2">
      <c r="A82" s="183"/>
      <c r="B82" s="175">
        <v>166</v>
      </c>
      <c r="C82" s="180" t="s">
        <v>405</v>
      </c>
      <c r="D82" s="178" t="s">
        <v>513</v>
      </c>
      <c r="E82" s="178" t="s">
        <v>514</v>
      </c>
      <c r="F82" s="178" t="s">
        <v>514</v>
      </c>
    </row>
    <row r="83" spans="1:6" ht="13.2">
      <c r="A83" s="183"/>
      <c r="B83" s="175">
        <v>167</v>
      </c>
      <c r="C83" s="180" t="s">
        <v>405</v>
      </c>
      <c r="D83" s="178" t="s">
        <v>515</v>
      </c>
      <c r="E83" s="178" t="s">
        <v>516</v>
      </c>
      <c r="F83" s="178" t="s">
        <v>516</v>
      </c>
    </row>
    <row r="84" spans="1:6" ht="13.2">
      <c r="A84" s="183"/>
      <c r="B84" s="175">
        <v>168</v>
      </c>
      <c r="C84" s="180" t="s">
        <v>405</v>
      </c>
      <c r="D84" s="178" t="s">
        <v>517</v>
      </c>
      <c r="E84" s="178" t="s">
        <v>518</v>
      </c>
      <c r="F84" s="178" t="s">
        <v>518</v>
      </c>
    </row>
    <row r="85" spans="1:6" ht="13.2">
      <c r="B85" s="175">
        <v>169</v>
      </c>
      <c r="D85" s="177" t="s">
        <v>519</v>
      </c>
      <c r="E85" s="177" t="s">
        <v>520</v>
      </c>
      <c r="F85" s="177" t="s">
        <v>520</v>
      </c>
    </row>
    <row r="86" spans="1:6" ht="13.2">
      <c r="B86" s="175">
        <v>170</v>
      </c>
      <c r="D86" s="177" t="s">
        <v>521</v>
      </c>
      <c r="E86" s="177" t="s">
        <v>522</v>
      </c>
      <c r="F86" s="177" t="s">
        <v>522</v>
      </c>
    </row>
    <row r="87" spans="1:6" ht="13.2">
      <c r="B87" s="175">
        <v>171</v>
      </c>
      <c r="D87" s="177" t="s">
        <v>523</v>
      </c>
      <c r="E87" s="177" t="s">
        <v>524</v>
      </c>
      <c r="F87" s="177" t="s">
        <v>524</v>
      </c>
    </row>
    <row r="88" spans="1:6" ht="13.2">
      <c r="B88" s="175">
        <v>172</v>
      </c>
      <c r="D88" s="177" t="s">
        <v>525</v>
      </c>
      <c r="E88" s="177" t="s">
        <v>526</v>
      </c>
      <c r="F88" s="177" t="s">
        <v>526</v>
      </c>
    </row>
    <row r="89" spans="1:6" ht="13.2">
      <c r="B89" s="175">
        <v>173</v>
      </c>
      <c r="D89" s="177" t="s">
        <v>527</v>
      </c>
      <c r="E89" s="177" t="s">
        <v>528</v>
      </c>
      <c r="F89" s="177" t="s">
        <v>528</v>
      </c>
    </row>
    <row r="90" spans="1:6" ht="13.2">
      <c r="B90" s="175">
        <v>174</v>
      </c>
      <c r="D90" s="177" t="s">
        <v>529</v>
      </c>
      <c r="E90" s="177" t="s">
        <v>530</v>
      </c>
      <c r="F90" s="177" t="s">
        <v>530</v>
      </c>
    </row>
    <row r="91" spans="1:6" ht="13.2">
      <c r="B91" s="175">
        <v>175</v>
      </c>
      <c r="D91" s="177" t="s">
        <v>531</v>
      </c>
      <c r="E91" s="177" t="s">
        <v>532</v>
      </c>
      <c r="F91" s="177" t="s">
        <v>532</v>
      </c>
    </row>
    <row r="92" spans="1:6" ht="26.4">
      <c r="B92" s="175">
        <v>176</v>
      </c>
      <c r="D92" s="177" t="s">
        <v>533</v>
      </c>
      <c r="E92" s="177" t="s">
        <v>534</v>
      </c>
      <c r="F92" s="177" t="s">
        <v>534</v>
      </c>
    </row>
    <row r="93" spans="1:6" ht="13.2">
      <c r="B93" s="175">
        <v>177</v>
      </c>
      <c r="D93" s="177" t="s">
        <v>535</v>
      </c>
      <c r="E93" s="177" t="s">
        <v>536</v>
      </c>
      <c r="F93" s="177" t="s">
        <v>536</v>
      </c>
    </row>
    <row r="94" spans="1:6" ht="13.2">
      <c r="B94" s="175">
        <v>178</v>
      </c>
      <c r="D94" s="177" t="s">
        <v>537</v>
      </c>
      <c r="E94" s="177" t="s">
        <v>538</v>
      </c>
      <c r="F94" s="177" t="s">
        <v>538</v>
      </c>
    </row>
    <row r="95" spans="1:6" ht="13.2">
      <c r="B95" s="175">
        <v>179</v>
      </c>
      <c r="D95" s="177" t="s">
        <v>539</v>
      </c>
      <c r="E95" s="177" t="s">
        <v>540</v>
      </c>
      <c r="F95" s="177" t="s">
        <v>540</v>
      </c>
    </row>
    <row r="96" spans="1:6" ht="13.2">
      <c r="B96" s="175">
        <v>180</v>
      </c>
      <c r="D96" s="177" t="s">
        <v>541</v>
      </c>
      <c r="E96" s="177" t="s">
        <v>542</v>
      </c>
      <c r="F96" s="177" t="s">
        <v>542</v>
      </c>
    </row>
    <row r="97" spans="2:6" ht="13.2">
      <c r="B97" s="175">
        <v>181</v>
      </c>
      <c r="C97" s="176" t="s">
        <v>409</v>
      </c>
      <c r="D97" s="177" t="s">
        <v>33</v>
      </c>
      <c r="E97" s="177" t="s">
        <v>543</v>
      </c>
      <c r="F97" s="177" t="s">
        <v>543</v>
      </c>
    </row>
    <row r="98" spans="2:6" ht="39.6">
      <c r="B98" s="175">
        <v>182</v>
      </c>
      <c r="C98" s="176" t="s">
        <v>409</v>
      </c>
      <c r="D98" s="177" t="s">
        <v>34</v>
      </c>
      <c r="E98" s="177" t="s">
        <v>544</v>
      </c>
      <c r="F98" s="177" t="s">
        <v>544</v>
      </c>
    </row>
    <row r="99" spans="2:6" ht="13.2">
      <c r="B99" s="175">
        <v>183</v>
      </c>
      <c r="D99" s="177" t="s">
        <v>545</v>
      </c>
      <c r="E99" s="177" t="s">
        <v>546</v>
      </c>
      <c r="F99" s="177" t="s">
        <v>546</v>
      </c>
    </row>
    <row r="100" spans="2:6" ht="13.2">
      <c r="B100" s="175">
        <v>184</v>
      </c>
      <c r="D100" s="177" t="s">
        <v>547</v>
      </c>
      <c r="E100" s="177" t="s">
        <v>548</v>
      </c>
      <c r="F100" s="177" t="s">
        <v>548</v>
      </c>
    </row>
    <row r="101" spans="2:6" ht="13.2">
      <c r="B101" s="175">
        <v>185</v>
      </c>
      <c r="D101" s="177" t="s">
        <v>549</v>
      </c>
      <c r="E101" s="177" t="s">
        <v>550</v>
      </c>
      <c r="F101" s="177" t="s">
        <v>550</v>
      </c>
    </row>
    <row r="102" spans="2:6" ht="26.4">
      <c r="B102" s="175">
        <v>186</v>
      </c>
      <c r="D102" s="177" t="s">
        <v>551</v>
      </c>
      <c r="E102" s="177" t="s">
        <v>552</v>
      </c>
      <c r="F102" s="177" t="s">
        <v>552</v>
      </c>
    </row>
    <row r="103" spans="2:6" ht="26.4">
      <c r="B103" s="175">
        <v>187</v>
      </c>
      <c r="D103" s="177" t="s">
        <v>553</v>
      </c>
      <c r="E103" s="177" t="s">
        <v>554</v>
      </c>
      <c r="F103" s="177" t="s">
        <v>554</v>
      </c>
    </row>
    <row r="104" spans="2:6" ht="24">
      <c r="B104" s="175">
        <v>188</v>
      </c>
      <c r="D104" s="177" t="s">
        <v>555</v>
      </c>
      <c r="E104" s="177" t="s">
        <v>556</v>
      </c>
      <c r="F104" s="177" t="s">
        <v>556</v>
      </c>
    </row>
    <row r="105" spans="2:6" ht="13.2">
      <c r="B105" s="175">
        <v>189</v>
      </c>
      <c r="D105" s="177" t="s">
        <v>557</v>
      </c>
      <c r="E105" s="177" t="s">
        <v>558</v>
      </c>
      <c r="F105" s="177" t="s">
        <v>558</v>
      </c>
    </row>
    <row r="106" spans="2:6" ht="13.2">
      <c r="B106" s="175">
        <v>190</v>
      </c>
      <c r="C106" s="176" t="s">
        <v>409</v>
      </c>
      <c r="D106" s="177" t="s">
        <v>27</v>
      </c>
      <c r="E106" s="177" t="s">
        <v>559</v>
      </c>
      <c r="F106" s="177" t="s">
        <v>559</v>
      </c>
    </row>
    <row r="107" spans="2:6" ht="13.2">
      <c r="B107" s="175">
        <v>191</v>
      </c>
      <c r="D107" s="177" t="s">
        <v>560</v>
      </c>
      <c r="E107" s="177" t="s">
        <v>561</v>
      </c>
      <c r="F107" s="177" t="s">
        <v>561</v>
      </c>
    </row>
    <row r="108" spans="2:6" ht="13.2">
      <c r="B108" s="175">
        <v>192</v>
      </c>
      <c r="D108" s="177" t="s">
        <v>562</v>
      </c>
      <c r="E108" s="177" t="s">
        <v>563</v>
      </c>
      <c r="F108" s="177" t="s">
        <v>563</v>
      </c>
    </row>
    <row r="109" spans="2:6" ht="13.2">
      <c r="B109" s="175">
        <v>193</v>
      </c>
      <c r="D109" s="177" t="s">
        <v>564</v>
      </c>
      <c r="E109" s="177" t="s">
        <v>565</v>
      </c>
      <c r="F109" s="177" t="s">
        <v>565</v>
      </c>
    </row>
    <row r="110" spans="2:6" ht="13.2">
      <c r="B110" s="175">
        <v>194</v>
      </c>
      <c r="D110" s="177" t="s">
        <v>566</v>
      </c>
      <c r="E110" s="177" t="s">
        <v>567</v>
      </c>
      <c r="F110" s="177" t="s">
        <v>567</v>
      </c>
    </row>
    <row r="111" spans="2:6" ht="13.2">
      <c r="B111" s="175">
        <v>195</v>
      </c>
      <c r="D111" s="177" t="s">
        <v>568</v>
      </c>
      <c r="E111" s="177" t="s">
        <v>569</v>
      </c>
      <c r="F111" s="177" t="s">
        <v>569</v>
      </c>
    </row>
    <row r="112" spans="2:6" ht="13.2">
      <c r="B112" s="175">
        <v>196</v>
      </c>
      <c r="D112" s="177" t="s">
        <v>570</v>
      </c>
      <c r="E112" s="177" t="s">
        <v>571</v>
      </c>
      <c r="F112" s="177" t="s">
        <v>571</v>
      </c>
    </row>
    <row r="113" spans="2:6" ht="26.4">
      <c r="B113" s="175">
        <v>197</v>
      </c>
      <c r="D113" s="177" t="s">
        <v>572</v>
      </c>
      <c r="E113" s="177" t="s">
        <v>573</v>
      </c>
      <c r="F113" s="177" t="s">
        <v>573</v>
      </c>
    </row>
    <row r="114" spans="2:6" ht="26.4">
      <c r="B114" s="175">
        <v>198</v>
      </c>
      <c r="D114" s="177" t="s">
        <v>574</v>
      </c>
      <c r="E114" s="177" t="s">
        <v>575</v>
      </c>
      <c r="F114" s="177" t="s">
        <v>575</v>
      </c>
    </row>
    <row r="115" spans="2:6" ht="13.2">
      <c r="B115" s="175">
        <v>199</v>
      </c>
      <c r="D115" s="177" t="s">
        <v>576</v>
      </c>
      <c r="E115" s="177" t="s">
        <v>577</v>
      </c>
      <c r="F115" s="177" t="s">
        <v>577</v>
      </c>
    </row>
    <row r="116" spans="2:6">
      <c r="B116" s="175">
        <v>200</v>
      </c>
      <c r="D116" s="177" t="s">
        <v>578</v>
      </c>
      <c r="E116" s="177" t="s">
        <v>579</v>
      </c>
      <c r="F116" s="177" t="s">
        <v>579</v>
      </c>
    </row>
    <row r="117" spans="2:6" ht="13.2">
      <c r="B117" s="175">
        <v>201</v>
      </c>
      <c r="D117" s="177" t="s">
        <v>580</v>
      </c>
      <c r="E117" s="177" t="s">
        <v>581</v>
      </c>
      <c r="F117" s="177" t="s">
        <v>581</v>
      </c>
    </row>
    <row r="118" spans="2:6" ht="13.2">
      <c r="B118" s="175">
        <v>202</v>
      </c>
      <c r="D118" s="177" t="s">
        <v>582</v>
      </c>
      <c r="E118" s="177" t="s">
        <v>583</v>
      </c>
      <c r="F118" s="177" t="s">
        <v>583</v>
      </c>
    </row>
    <row r="119" spans="2:6" ht="13.2">
      <c r="B119" s="175">
        <v>203</v>
      </c>
      <c r="D119" s="177" t="s">
        <v>584</v>
      </c>
      <c r="E119" s="177" t="s">
        <v>585</v>
      </c>
      <c r="F119" s="177" t="s">
        <v>585</v>
      </c>
    </row>
    <row r="120" spans="2:6" ht="13.2">
      <c r="B120" s="175">
        <v>204</v>
      </c>
      <c r="D120" s="177" t="s">
        <v>586</v>
      </c>
      <c r="E120" s="177" t="s">
        <v>587</v>
      </c>
      <c r="F120" s="177" t="s">
        <v>587</v>
      </c>
    </row>
    <row r="121" spans="2:6" ht="13.2">
      <c r="B121" s="175">
        <v>205</v>
      </c>
      <c r="D121" s="177" t="s">
        <v>588</v>
      </c>
      <c r="E121" s="177" t="s">
        <v>589</v>
      </c>
      <c r="F121" s="177" t="s">
        <v>589</v>
      </c>
    </row>
    <row r="122" spans="2:6" ht="13.2">
      <c r="B122" s="175">
        <v>206</v>
      </c>
      <c r="D122" s="177" t="s">
        <v>590</v>
      </c>
      <c r="E122" s="177" t="s">
        <v>591</v>
      </c>
      <c r="F122" s="177" t="s">
        <v>591</v>
      </c>
    </row>
    <row r="123" spans="2:6" ht="13.2">
      <c r="B123" s="175">
        <v>207</v>
      </c>
      <c r="D123" s="177" t="s">
        <v>592</v>
      </c>
      <c r="E123" s="177" t="s">
        <v>593</v>
      </c>
      <c r="F123" s="177" t="s">
        <v>593</v>
      </c>
    </row>
    <row r="124" spans="2:6" ht="24">
      <c r="B124" s="175">
        <v>208</v>
      </c>
      <c r="D124" s="177" t="s">
        <v>594</v>
      </c>
      <c r="E124" s="177" t="s">
        <v>595</v>
      </c>
      <c r="F124" s="177" t="s">
        <v>595</v>
      </c>
    </row>
    <row r="125" spans="2:6" ht="24">
      <c r="B125" s="175">
        <v>209</v>
      </c>
      <c r="D125" s="177" t="s">
        <v>596</v>
      </c>
      <c r="E125" s="177" t="s">
        <v>597</v>
      </c>
      <c r="F125" s="177" t="s">
        <v>597</v>
      </c>
    </row>
    <row r="126" spans="2:6" ht="13.2">
      <c r="B126" s="175">
        <v>210</v>
      </c>
      <c r="D126" s="177" t="s">
        <v>598</v>
      </c>
      <c r="E126" s="177" t="s">
        <v>599</v>
      </c>
      <c r="F126" s="177" t="s">
        <v>599</v>
      </c>
    </row>
    <row r="127" spans="2:6">
      <c r="B127" s="175">
        <v>211</v>
      </c>
      <c r="D127" s="177" t="s">
        <v>63</v>
      </c>
      <c r="E127" s="177" t="s">
        <v>63</v>
      </c>
      <c r="F127" s="177" t="s">
        <v>63</v>
      </c>
    </row>
    <row r="128" spans="2:6" ht="13.2">
      <c r="B128" s="175">
        <v>212</v>
      </c>
      <c r="D128" s="177" t="s">
        <v>220</v>
      </c>
      <c r="E128" s="177" t="s">
        <v>600</v>
      </c>
      <c r="F128" s="177" t="s">
        <v>600</v>
      </c>
    </row>
    <row r="129" spans="2:6" ht="13.2">
      <c r="B129" s="175">
        <v>213</v>
      </c>
      <c r="D129" s="177" t="s">
        <v>601</v>
      </c>
      <c r="E129" s="177" t="s">
        <v>602</v>
      </c>
      <c r="F129" s="177" t="s">
        <v>602</v>
      </c>
    </row>
    <row r="130" spans="2:6" ht="13.2">
      <c r="B130" s="175">
        <v>214</v>
      </c>
      <c r="D130" s="177" t="s">
        <v>603</v>
      </c>
      <c r="E130" s="177" t="s">
        <v>604</v>
      </c>
      <c r="F130" s="177" t="s">
        <v>604</v>
      </c>
    </row>
    <row r="131" spans="2:6" ht="13.2">
      <c r="B131" s="175">
        <v>215</v>
      </c>
      <c r="D131" s="177" t="s">
        <v>605</v>
      </c>
      <c r="E131" s="177" t="s">
        <v>606</v>
      </c>
      <c r="F131" s="177" t="s">
        <v>606</v>
      </c>
    </row>
    <row r="132" spans="2:6" ht="13.2">
      <c r="B132" s="175">
        <v>216</v>
      </c>
      <c r="D132" s="177" t="s">
        <v>607</v>
      </c>
      <c r="E132" s="177" t="s">
        <v>608</v>
      </c>
      <c r="F132" s="177" t="s">
        <v>608</v>
      </c>
    </row>
    <row r="133" spans="2:6" ht="13.2">
      <c r="B133" s="175">
        <v>217</v>
      </c>
      <c r="D133" s="177" t="s">
        <v>609</v>
      </c>
      <c r="E133" s="177" t="s">
        <v>610</v>
      </c>
      <c r="F133" s="177" t="s">
        <v>610</v>
      </c>
    </row>
    <row r="134" spans="2:6" ht="13.2">
      <c r="B134" s="175">
        <v>218</v>
      </c>
      <c r="D134" s="177" t="s">
        <v>611</v>
      </c>
      <c r="E134" s="177" t="s">
        <v>612</v>
      </c>
      <c r="F134" s="177" t="s">
        <v>612</v>
      </c>
    </row>
    <row r="135" spans="2:6" ht="13.2">
      <c r="B135" s="175">
        <v>219</v>
      </c>
      <c r="D135" s="177" t="s">
        <v>613</v>
      </c>
      <c r="E135" s="177" t="s">
        <v>614</v>
      </c>
      <c r="F135" s="177" t="s">
        <v>614</v>
      </c>
    </row>
    <row r="136" spans="2:6" ht="13.2">
      <c r="B136" s="175">
        <v>220</v>
      </c>
      <c r="D136" s="177" t="s">
        <v>615</v>
      </c>
      <c r="E136" s="177" t="s">
        <v>616</v>
      </c>
      <c r="F136" s="177" t="s">
        <v>616</v>
      </c>
    </row>
    <row r="137" spans="2:6" ht="13.2">
      <c r="B137" s="175">
        <v>221</v>
      </c>
      <c r="D137" s="177" t="s">
        <v>617</v>
      </c>
      <c r="E137" s="177" t="s">
        <v>618</v>
      </c>
      <c r="F137" s="177" t="s">
        <v>618</v>
      </c>
    </row>
    <row r="138" spans="2:6" ht="13.2">
      <c r="B138" s="175">
        <v>222</v>
      </c>
      <c r="D138" s="177" t="s">
        <v>619</v>
      </c>
      <c r="E138" s="177" t="s">
        <v>620</v>
      </c>
      <c r="F138" s="177" t="s">
        <v>620</v>
      </c>
    </row>
    <row r="139" spans="2:6" ht="13.2">
      <c r="B139" s="175">
        <v>223</v>
      </c>
      <c r="D139" s="177" t="s">
        <v>621</v>
      </c>
      <c r="E139" s="177" t="s">
        <v>622</v>
      </c>
      <c r="F139" s="177" t="s">
        <v>622</v>
      </c>
    </row>
    <row r="140" spans="2:6" ht="13.2">
      <c r="B140" s="175">
        <v>224</v>
      </c>
      <c r="C140" s="176" t="s">
        <v>466</v>
      </c>
      <c r="D140" s="177" t="s">
        <v>623</v>
      </c>
      <c r="E140" s="177" t="s">
        <v>624</v>
      </c>
      <c r="F140" s="177" t="s">
        <v>624</v>
      </c>
    </row>
    <row r="141" spans="2:6" ht="13.2">
      <c r="B141" s="175">
        <v>225</v>
      </c>
      <c r="D141" s="177" t="s">
        <v>625</v>
      </c>
      <c r="E141" s="177" t="s">
        <v>626</v>
      </c>
      <c r="F141" s="177" t="s">
        <v>626</v>
      </c>
    </row>
    <row r="142" spans="2:6" ht="13.2">
      <c r="B142" s="175">
        <v>226</v>
      </c>
      <c r="D142" s="177" t="s">
        <v>627</v>
      </c>
      <c r="E142" s="177" t="s">
        <v>628</v>
      </c>
      <c r="F142" s="177" t="s">
        <v>628</v>
      </c>
    </row>
    <row r="143" spans="2:6" ht="13.2">
      <c r="B143" s="175">
        <v>227</v>
      </c>
      <c r="D143" s="177" t="s">
        <v>629</v>
      </c>
      <c r="E143" s="177" t="s">
        <v>630</v>
      </c>
      <c r="F143" s="177" t="s">
        <v>630</v>
      </c>
    </row>
    <row r="144" spans="2:6" ht="13.2">
      <c r="B144" s="175">
        <v>228</v>
      </c>
      <c r="D144" s="177" t="s">
        <v>631</v>
      </c>
      <c r="E144" s="177" t="s">
        <v>632</v>
      </c>
      <c r="F144" s="177" t="s">
        <v>632</v>
      </c>
    </row>
    <row r="145" spans="2:6" ht="13.2">
      <c r="B145" s="175">
        <v>229</v>
      </c>
      <c r="D145" s="177" t="s">
        <v>633</v>
      </c>
      <c r="E145" s="177" t="s">
        <v>634</v>
      </c>
      <c r="F145" s="177" t="s">
        <v>634</v>
      </c>
    </row>
    <row r="146" spans="2:6" ht="13.2">
      <c r="B146" s="175">
        <v>230</v>
      </c>
      <c r="D146" s="177" t="s">
        <v>635</v>
      </c>
      <c r="E146" s="177" t="s">
        <v>636</v>
      </c>
      <c r="F146" s="177" t="s">
        <v>636</v>
      </c>
    </row>
    <row r="147" spans="2:6" ht="13.2">
      <c r="B147" s="175">
        <v>231</v>
      </c>
      <c r="D147" s="177" t="s">
        <v>637</v>
      </c>
      <c r="E147" s="177" t="s">
        <v>638</v>
      </c>
      <c r="F147" s="177" t="s">
        <v>638</v>
      </c>
    </row>
    <row r="148" spans="2:6" ht="13.2">
      <c r="B148" s="175">
        <v>232</v>
      </c>
      <c r="D148" s="177" t="s">
        <v>639</v>
      </c>
      <c r="E148" s="177" t="s">
        <v>640</v>
      </c>
      <c r="F148" s="177" t="s">
        <v>640</v>
      </c>
    </row>
    <row r="149" spans="2:6" ht="13.2">
      <c r="B149" s="175">
        <v>233</v>
      </c>
      <c r="D149" s="177" t="s">
        <v>641</v>
      </c>
      <c r="E149" s="177" t="s">
        <v>642</v>
      </c>
      <c r="F149" s="177" t="s">
        <v>642</v>
      </c>
    </row>
    <row r="150" spans="2:6" ht="13.2">
      <c r="B150" s="175">
        <v>234</v>
      </c>
      <c r="D150" s="177" t="s">
        <v>643</v>
      </c>
      <c r="E150" s="177" t="s">
        <v>644</v>
      </c>
      <c r="F150" s="177" t="s">
        <v>644</v>
      </c>
    </row>
    <row r="151" spans="2:6" ht="13.2">
      <c r="B151" s="175">
        <v>235</v>
      </c>
      <c r="D151" s="177" t="s">
        <v>645</v>
      </c>
      <c r="E151" s="177" t="s">
        <v>646</v>
      </c>
      <c r="F151" s="177" t="s">
        <v>646</v>
      </c>
    </row>
    <row r="152" spans="2:6" ht="13.2">
      <c r="B152" s="175">
        <v>236</v>
      </c>
      <c r="D152" s="177" t="s">
        <v>647</v>
      </c>
      <c r="E152" s="177" t="s">
        <v>648</v>
      </c>
      <c r="F152" s="177" t="s">
        <v>648</v>
      </c>
    </row>
    <row r="153" spans="2:6" ht="13.2">
      <c r="B153" s="175">
        <v>237</v>
      </c>
      <c r="D153" s="177" t="s">
        <v>649</v>
      </c>
      <c r="E153" s="177" t="s">
        <v>650</v>
      </c>
      <c r="F153" s="177" t="s">
        <v>650</v>
      </c>
    </row>
    <row r="154" spans="2:6" ht="13.2">
      <c r="B154" s="175">
        <v>238</v>
      </c>
      <c r="D154" s="177" t="s">
        <v>73</v>
      </c>
      <c r="E154" s="177" t="s">
        <v>651</v>
      </c>
      <c r="F154" s="177" t="s">
        <v>651</v>
      </c>
    </row>
    <row r="155" spans="2:6" ht="13.2">
      <c r="B155" s="175">
        <v>239</v>
      </c>
      <c r="D155" s="177" t="s">
        <v>652</v>
      </c>
      <c r="E155" s="177" t="s">
        <v>653</v>
      </c>
      <c r="F155" s="177" t="s">
        <v>653</v>
      </c>
    </row>
    <row r="156" spans="2:6" ht="13.2">
      <c r="B156" s="175">
        <v>240</v>
      </c>
      <c r="D156" s="177" t="s">
        <v>654</v>
      </c>
      <c r="E156" s="177" t="s">
        <v>655</v>
      </c>
      <c r="F156" s="177" t="s">
        <v>655</v>
      </c>
    </row>
    <row r="157" spans="2:6" ht="13.2">
      <c r="B157" s="175">
        <v>241</v>
      </c>
      <c r="D157" s="177" t="s">
        <v>656</v>
      </c>
      <c r="E157" s="177" t="s">
        <v>657</v>
      </c>
      <c r="F157" s="177" t="s">
        <v>657</v>
      </c>
    </row>
    <row r="158" spans="2:6" ht="13.2">
      <c r="B158" s="175">
        <v>242</v>
      </c>
      <c r="D158" s="177" t="s">
        <v>658</v>
      </c>
      <c r="E158" s="177" t="s">
        <v>659</v>
      </c>
      <c r="F158" s="177" t="s">
        <v>659</v>
      </c>
    </row>
    <row r="159" spans="2:6" ht="13.2">
      <c r="B159" s="175">
        <v>243</v>
      </c>
      <c r="D159" s="177" t="s">
        <v>660</v>
      </c>
      <c r="E159" s="177" t="s">
        <v>661</v>
      </c>
      <c r="F159" s="177" t="s">
        <v>661</v>
      </c>
    </row>
    <row r="160" spans="2:6" ht="13.2">
      <c r="B160" s="175">
        <v>244</v>
      </c>
      <c r="D160" s="177" t="s">
        <v>662</v>
      </c>
      <c r="E160" s="177" t="s">
        <v>663</v>
      </c>
      <c r="F160" s="177" t="s">
        <v>663</v>
      </c>
    </row>
    <row r="161" spans="2:6" ht="13.2">
      <c r="B161" s="175">
        <v>245</v>
      </c>
      <c r="D161" s="177" t="s">
        <v>664</v>
      </c>
      <c r="E161" s="177" t="s">
        <v>665</v>
      </c>
      <c r="F161" s="177" t="s">
        <v>665</v>
      </c>
    </row>
    <row r="162" spans="2:6" ht="13.2">
      <c r="B162" s="175">
        <v>246</v>
      </c>
      <c r="D162" s="177" t="s">
        <v>666</v>
      </c>
      <c r="E162" s="177" t="s">
        <v>667</v>
      </c>
      <c r="F162" s="177" t="s">
        <v>667</v>
      </c>
    </row>
    <row r="163" spans="2:6" ht="13.2">
      <c r="B163" s="175">
        <v>247</v>
      </c>
      <c r="D163" s="177" t="s">
        <v>668</v>
      </c>
      <c r="E163" s="177" t="s">
        <v>669</v>
      </c>
      <c r="F163" s="177" t="s">
        <v>669</v>
      </c>
    </row>
    <row r="164" spans="2:6" ht="13.2">
      <c r="B164" s="175">
        <v>248</v>
      </c>
      <c r="D164" s="177" t="s">
        <v>670</v>
      </c>
      <c r="E164" s="177" t="s">
        <v>671</v>
      </c>
      <c r="F164" s="177" t="s">
        <v>671</v>
      </c>
    </row>
    <row r="165" spans="2:6" ht="13.2">
      <c r="B165" s="175">
        <v>249</v>
      </c>
      <c r="D165" s="177" t="s">
        <v>672</v>
      </c>
      <c r="E165" s="177" t="s">
        <v>673</v>
      </c>
      <c r="F165" s="177" t="s">
        <v>673</v>
      </c>
    </row>
    <row r="166" spans="2:6" ht="13.2">
      <c r="B166" s="175">
        <v>250</v>
      </c>
      <c r="D166" s="177" t="s">
        <v>674</v>
      </c>
      <c r="E166" s="177" t="s">
        <v>675</v>
      </c>
      <c r="F166" s="177" t="s">
        <v>675</v>
      </c>
    </row>
    <row r="167" spans="2:6" ht="13.2">
      <c r="B167" s="175">
        <v>251</v>
      </c>
      <c r="D167" s="177" t="s">
        <v>676</v>
      </c>
      <c r="E167" s="177" t="s">
        <v>677</v>
      </c>
      <c r="F167" s="177" t="s">
        <v>677</v>
      </c>
    </row>
    <row r="168" spans="2:6" ht="13.2">
      <c r="B168" s="175">
        <v>252</v>
      </c>
      <c r="D168" s="177" t="s">
        <v>678</v>
      </c>
      <c r="E168" s="177" t="s">
        <v>679</v>
      </c>
      <c r="F168" s="177" t="s">
        <v>679</v>
      </c>
    </row>
    <row r="169" spans="2:6" ht="13.2">
      <c r="B169" s="175">
        <v>253</v>
      </c>
      <c r="D169" s="177" t="s">
        <v>680</v>
      </c>
      <c r="E169" s="177" t="s">
        <v>681</v>
      </c>
      <c r="F169" s="177" t="s">
        <v>681</v>
      </c>
    </row>
    <row r="170" spans="2:6" ht="13.2">
      <c r="B170" s="175">
        <v>254</v>
      </c>
      <c r="D170" s="177" t="s">
        <v>682</v>
      </c>
      <c r="E170" s="177" t="s">
        <v>683</v>
      </c>
      <c r="F170" s="177" t="s">
        <v>683</v>
      </c>
    </row>
    <row r="171" spans="2:6" ht="13.2">
      <c r="B171" s="175">
        <v>255</v>
      </c>
      <c r="C171" s="176" t="s">
        <v>466</v>
      </c>
      <c r="D171" s="177" t="s">
        <v>684</v>
      </c>
      <c r="E171" s="177" t="s">
        <v>685</v>
      </c>
      <c r="F171" s="177" t="s">
        <v>685</v>
      </c>
    </row>
    <row r="172" spans="2:6" ht="13.2">
      <c r="B172" s="175">
        <v>256</v>
      </c>
      <c r="D172" s="177" t="s">
        <v>686</v>
      </c>
      <c r="E172" s="177" t="s">
        <v>687</v>
      </c>
      <c r="F172" s="177" t="s">
        <v>687</v>
      </c>
    </row>
    <row r="173" spans="2:6" ht="13.2">
      <c r="B173" s="175">
        <v>257</v>
      </c>
      <c r="D173" s="177" t="s">
        <v>688</v>
      </c>
      <c r="E173" s="177" t="s">
        <v>689</v>
      </c>
      <c r="F173" s="177" t="s">
        <v>689</v>
      </c>
    </row>
    <row r="174" spans="2:6" ht="13.2">
      <c r="B174" s="175">
        <v>258</v>
      </c>
      <c r="D174" s="177" t="s">
        <v>690</v>
      </c>
      <c r="E174" s="177" t="s">
        <v>691</v>
      </c>
      <c r="F174" s="177" t="s">
        <v>691</v>
      </c>
    </row>
    <row r="175" spans="2:6" ht="13.2">
      <c r="B175" s="175">
        <v>259</v>
      </c>
      <c r="D175" s="177" t="s">
        <v>692</v>
      </c>
      <c r="E175" s="177" t="s">
        <v>693</v>
      </c>
      <c r="F175" s="177" t="s">
        <v>693</v>
      </c>
    </row>
    <row r="176" spans="2:6" ht="13.2">
      <c r="B176" s="175">
        <v>260</v>
      </c>
      <c r="D176" s="177" t="s">
        <v>694</v>
      </c>
      <c r="E176" s="177" t="s">
        <v>695</v>
      </c>
      <c r="F176" s="177" t="s">
        <v>695</v>
      </c>
    </row>
    <row r="177" spans="2:6" ht="13.2">
      <c r="B177" s="175">
        <v>261</v>
      </c>
      <c r="D177" s="177" t="s">
        <v>696</v>
      </c>
      <c r="E177" s="177" t="s">
        <v>697</v>
      </c>
      <c r="F177" s="177" t="s">
        <v>697</v>
      </c>
    </row>
    <row r="178" spans="2:6" ht="24">
      <c r="B178" s="175">
        <v>262</v>
      </c>
      <c r="D178" s="177" t="s">
        <v>698</v>
      </c>
      <c r="E178" s="177" t="s">
        <v>699</v>
      </c>
      <c r="F178" s="177" t="s">
        <v>699</v>
      </c>
    </row>
    <row r="179" spans="2:6" ht="24">
      <c r="B179" s="175">
        <v>263</v>
      </c>
      <c r="D179" s="177" t="s">
        <v>700</v>
      </c>
      <c r="E179" s="177" t="s">
        <v>701</v>
      </c>
      <c r="F179" s="177" t="s">
        <v>701</v>
      </c>
    </row>
    <row r="180" spans="2:6" ht="13.2">
      <c r="B180" s="175">
        <v>264</v>
      </c>
      <c r="D180" s="177" t="s">
        <v>702</v>
      </c>
      <c r="E180" s="177" t="s">
        <v>703</v>
      </c>
      <c r="F180" s="177" t="s">
        <v>703</v>
      </c>
    </row>
    <row r="181" spans="2:6" ht="13.2">
      <c r="B181" s="175">
        <v>265</v>
      </c>
      <c r="D181" s="177" t="s">
        <v>704</v>
      </c>
      <c r="E181" s="177" t="s">
        <v>705</v>
      </c>
      <c r="F181" s="177" t="s">
        <v>705</v>
      </c>
    </row>
    <row r="182" spans="2:6" ht="13.2">
      <c r="B182" s="175">
        <v>266</v>
      </c>
      <c r="D182" s="177" t="s">
        <v>706</v>
      </c>
      <c r="E182" s="177" t="s">
        <v>707</v>
      </c>
      <c r="F182" s="177" t="s">
        <v>707</v>
      </c>
    </row>
    <row r="183" spans="2:6" ht="13.2">
      <c r="B183" s="175">
        <v>267</v>
      </c>
      <c r="D183" s="177" t="s">
        <v>708</v>
      </c>
      <c r="E183" s="177" t="s">
        <v>709</v>
      </c>
      <c r="F183" s="177" t="s">
        <v>709</v>
      </c>
    </row>
    <row r="184" spans="2:6" ht="13.2">
      <c r="B184" s="175">
        <v>268</v>
      </c>
      <c r="D184" s="177" t="s">
        <v>710</v>
      </c>
      <c r="E184" s="177" t="s">
        <v>711</v>
      </c>
      <c r="F184" s="177" t="s">
        <v>711</v>
      </c>
    </row>
    <row r="185" spans="2:6" ht="13.2">
      <c r="B185" s="175">
        <v>269</v>
      </c>
      <c r="D185" s="177" t="s">
        <v>712</v>
      </c>
      <c r="E185" s="177" t="s">
        <v>713</v>
      </c>
      <c r="F185" s="177" t="s">
        <v>713</v>
      </c>
    </row>
    <row r="186" spans="2:6" ht="13.2">
      <c r="B186" s="175">
        <v>270</v>
      </c>
      <c r="D186" s="177" t="s">
        <v>714</v>
      </c>
      <c r="E186" s="177" t="s">
        <v>715</v>
      </c>
      <c r="F186" s="177" t="s">
        <v>715</v>
      </c>
    </row>
    <row r="187" spans="2:6" ht="24">
      <c r="B187" s="175">
        <v>271</v>
      </c>
      <c r="D187" s="177" t="s">
        <v>716</v>
      </c>
      <c r="E187" s="177" t="s">
        <v>717</v>
      </c>
      <c r="F187" s="177" t="s">
        <v>717</v>
      </c>
    </row>
    <row r="188" spans="2:6" ht="52.8">
      <c r="B188" s="175">
        <v>272</v>
      </c>
      <c r="D188" s="177" t="s">
        <v>718</v>
      </c>
      <c r="E188" s="177" t="s">
        <v>719</v>
      </c>
      <c r="F188" s="177" t="s">
        <v>719</v>
      </c>
    </row>
    <row r="189" spans="2:6" ht="13.2">
      <c r="B189" s="175">
        <v>273</v>
      </c>
      <c r="D189" s="177" t="s">
        <v>720</v>
      </c>
      <c r="E189" s="177" t="s">
        <v>721</v>
      </c>
      <c r="F189" s="177" t="s">
        <v>721</v>
      </c>
    </row>
    <row r="190" spans="2:6" ht="13.2">
      <c r="B190" s="175">
        <v>274</v>
      </c>
      <c r="D190" s="177" t="s">
        <v>722</v>
      </c>
      <c r="E190" s="177" t="s">
        <v>723</v>
      </c>
      <c r="F190" s="177" t="s">
        <v>723</v>
      </c>
    </row>
    <row r="191" spans="2:6" ht="13.2">
      <c r="B191" s="175">
        <v>275</v>
      </c>
      <c r="D191" s="177" t="s">
        <v>724</v>
      </c>
      <c r="E191" s="177" t="s">
        <v>725</v>
      </c>
      <c r="F191" s="177" t="s">
        <v>725</v>
      </c>
    </row>
    <row r="192" spans="2:6" ht="13.2">
      <c r="B192" s="175">
        <v>276</v>
      </c>
      <c r="D192" s="177" t="s">
        <v>726</v>
      </c>
      <c r="E192" s="177" t="s">
        <v>727</v>
      </c>
      <c r="F192" s="177" t="s">
        <v>727</v>
      </c>
    </row>
    <row r="193" spans="2:6" ht="13.2">
      <c r="B193" s="175">
        <v>277</v>
      </c>
      <c r="D193" s="177" t="s">
        <v>728</v>
      </c>
      <c r="E193" s="177" t="s">
        <v>729</v>
      </c>
      <c r="F193" s="177" t="s">
        <v>729</v>
      </c>
    </row>
    <row r="194" spans="2:6" ht="13.2">
      <c r="B194" s="175">
        <v>278</v>
      </c>
      <c r="D194" s="177" t="s">
        <v>730</v>
      </c>
      <c r="E194" s="177" t="s">
        <v>731</v>
      </c>
      <c r="F194" s="177" t="s">
        <v>731</v>
      </c>
    </row>
    <row r="195" spans="2:6" ht="13.2">
      <c r="B195" s="175">
        <v>279</v>
      </c>
      <c r="D195" s="177" t="s">
        <v>732</v>
      </c>
      <c r="E195" s="177" t="s">
        <v>733</v>
      </c>
      <c r="F195" s="177" t="s">
        <v>733</v>
      </c>
    </row>
    <row r="196" spans="2:6" ht="13.2">
      <c r="B196" s="175">
        <v>280</v>
      </c>
      <c r="D196" s="177" t="s">
        <v>328</v>
      </c>
      <c r="E196" s="177" t="s">
        <v>734</v>
      </c>
      <c r="F196" s="177" t="s">
        <v>734</v>
      </c>
    </row>
    <row r="197" spans="2:6" ht="13.2">
      <c r="B197" s="175">
        <v>281</v>
      </c>
      <c r="D197" s="177" t="s">
        <v>735</v>
      </c>
      <c r="E197" s="177" t="s">
        <v>736</v>
      </c>
      <c r="F197" s="177" t="s">
        <v>736</v>
      </c>
    </row>
    <row r="198" spans="2:6" ht="26.4">
      <c r="B198" s="175">
        <v>282</v>
      </c>
      <c r="D198" s="177" t="s">
        <v>737</v>
      </c>
      <c r="E198" s="177" t="s">
        <v>738</v>
      </c>
      <c r="F198" s="177" t="s">
        <v>738</v>
      </c>
    </row>
    <row r="199" spans="2:6" ht="13.2">
      <c r="B199" s="175">
        <v>283</v>
      </c>
      <c r="D199" s="177" t="s">
        <v>739</v>
      </c>
      <c r="E199" s="177" t="s">
        <v>740</v>
      </c>
      <c r="F199" s="177" t="s">
        <v>740</v>
      </c>
    </row>
    <row r="200" spans="2:6" ht="26.4">
      <c r="B200" s="175">
        <v>284</v>
      </c>
      <c r="D200" s="177" t="s">
        <v>741</v>
      </c>
      <c r="E200" s="177" t="s">
        <v>742</v>
      </c>
      <c r="F200" s="177" t="s">
        <v>742</v>
      </c>
    </row>
    <row r="201" spans="2:6" ht="13.2">
      <c r="B201" s="175">
        <v>285</v>
      </c>
      <c r="D201" s="177" t="s">
        <v>743</v>
      </c>
      <c r="E201" s="177" t="s">
        <v>744</v>
      </c>
      <c r="F201" s="177" t="s">
        <v>744</v>
      </c>
    </row>
    <row r="202" spans="2:6" ht="13.2">
      <c r="B202" s="175">
        <v>286</v>
      </c>
      <c r="D202" s="177" t="s">
        <v>745</v>
      </c>
      <c r="E202" s="177" t="s">
        <v>746</v>
      </c>
      <c r="F202" s="177" t="s">
        <v>746</v>
      </c>
    </row>
    <row r="203" spans="2:6" ht="13.2">
      <c r="B203" s="175">
        <v>287</v>
      </c>
      <c r="D203" s="177" t="s">
        <v>747</v>
      </c>
      <c r="E203" s="177" t="s">
        <v>748</v>
      </c>
      <c r="F203" s="177" t="s">
        <v>748</v>
      </c>
    </row>
    <row r="204" spans="2:6" ht="13.2">
      <c r="B204" s="175">
        <v>288</v>
      </c>
      <c r="D204" s="177" t="s">
        <v>749</v>
      </c>
      <c r="E204" s="177" t="s">
        <v>750</v>
      </c>
      <c r="F204" s="177" t="s">
        <v>750</v>
      </c>
    </row>
    <row r="205" spans="2:6" ht="13.2">
      <c r="B205" s="175">
        <v>289</v>
      </c>
      <c r="D205" s="177" t="s">
        <v>751</v>
      </c>
      <c r="E205" s="177" t="s">
        <v>752</v>
      </c>
      <c r="F205" s="177" t="s">
        <v>752</v>
      </c>
    </row>
    <row r="206" spans="2:6" ht="13.2">
      <c r="B206" s="175">
        <v>290</v>
      </c>
      <c r="D206" s="177" t="s">
        <v>753</v>
      </c>
      <c r="E206" s="177" t="s">
        <v>754</v>
      </c>
      <c r="F206" s="177" t="s">
        <v>754</v>
      </c>
    </row>
    <row r="207" spans="2:6" ht="13.2">
      <c r="B207" s="175">
        <v>291</v>
      </c>
      <c r="D207" s="177" t="s">
        <v>755</v>
      </c>
      <c r="E207" s="177" t="s">
        <v>756</v>
      </c>
      <c r="F207" s="177" t="s">
        <v>756</v>
      </c>
    </row>
    <row r="208" spans="2:6" ht="13.2">
      <c r="B208" s="175">
        <v>292</v>
      </c>
      <c r="D208" s="177" t="s">
        <v>757</v>
      </c>
      <c r="E208" s="177" t="s">
        <v>758</v>
      </c>
      <c r="F208" s="177" t="s">
        <v>758</v>
      </c>
    </row>
    <row r="209" spans="2:6" ht="13.2">
      <c r="B209" s="175">
        <v>293</v>
      </c>
      <c r="D209" s="177" t="s">
        <v>759</v>
      </c>
      <c r="E209" s="177" t="s">
        <v>760</v>
      </c>
      <c r="F209" s="177" t="s">
        <v>760</v>
      </c>
    </row>
    <row r="210" spans="2:6" ht="13.2">
      <c r="B210" s="175">
        <v>294</v>
      </c>
      <c r="D210" s="177" t="s">
        <v>761</v>
      </c>
      <c r="E210" s="177" t="s">
        <v>762</v>
      </c>
      <c r="F210" s="177" t="s">
        <v>762</v>
      </c>
    </row>
    <row r="211" spans="2:6" ht="13.2">
      <c r="B211" s="175">
        <v>295</v>
      </c>
      <c r="D211" s="177" t="s">
        <v>763</v>
      </c>
      <c r="E211" s="177" t="s">
        <v>764</v>
      </c>
      <c r="F211" s="177" t="s">
        <v>764</v>
      </c>
    </row>
    <row r="212" spans="2:6" ht="13.2">
      <c r="B212" s="175">
        <v>296</v>
      </c>
      <c r="D212" s="177" t="s">
        <v>765</v>
      </c>
      <c r="E212" s="177" t="s">
        <v>766</v>
      </c>
      <c r="F212" s="177" t="s">
        <v>766</v>
      </c>
    </row>
    <row r="213" spans="2:6" ht="13.2">
      <c r="B213" s="175">
        <v>297</v>
      </c>
      <c r="D213" s="177" t="s">
        <v>767</v>
      </c>
      <c r="E213" s="177" t="s">
        <v>768</v>
      </c>
      <c r="F213" s="177" t="s">
        <v>768</v>
      </c>
    </row>
    <row r="214" spans="2:6" ht="13.2">
      <c r="B214" s="175">
        <v>298</v>
      </c>
      <c r="C214" s="176" t="s">
        <v>409</v>
      </c>
      <c r="D214" s="177" t="s">
        <v>18</v>
      </c>
      <c r="E214" s="177" t="s">
        <v>769</v>
      </c>
      <c r="F214" s="177" t="s">
        <v>769</v>
      </c>
    </row>
    <row r="215" spans="2:6" ht="13.2">
      <c r="B215" s="175">
        <v>299</v>
      </c>
      <c r="D215" s="177" t="s">
        <v>770</v>
      </c>
      <c r="E215" s="177" t="s">
        <v>771</v>
      </c>
      <c r="F215" s="177" t="s">
        <v>771</v>
      </c>
    </row>
    <row r="216" spans="2:6" ht="13.2">
      <c r="B216" s="175">
        <v>300</v>
      </c>
      <c r="D216" s="177" t="s">
        <v>772</v>
      </c>
      <c r="E216" s="177" t="s">
        <v>773</v>
      </c>
      <c r="F216" s="177" t="s">
        <v>773</v>
      </c>
    </row>
    <row r="217" spans="2:6" ht="13.2">
      <c r="B217" s="175">
        <v>301</v>
      </c>
      <c r="D217" s="177" t="s">
        <v>774</v>
      </c>
      <c r="E217" s="177" t="s">
        <v>775</v>
      </c>
      <c r="F217" s="177" t="s">
        <v>775</v>
      </c>
    </row>
    <row r="218" spans="2:6" ht="13.2">
      <c r="B218" s="175">
        <v>302</v>
      </c>
      <c r="C218" s="176" t="s">
        <v>409</v>
      </c>
      <c r="D218" s="182" t="s">
        <v>20</v>
      </c>
      <c r="E218" s="182" t="s">
        <v>776</v>
      </c>
      <c r="F218" s="182" t="s">
        <v>776</v>
      </c>
    </row>
    <row r="219" spans="2:6" ht="13.2">
      <c r="B219" s="175">
        <v>303</v>
      </c>
      <c r="C219" s="176" t="s">
        <v>409</v>
      </c>
      <c r="D219" s="182" t="s">
        <v>777</v>
      </c>
      <c r="E219" s="182" t="s">
        <v>778</v>
      </c>
      <c r="F219" s="182" t="s">
        <v>778</v>
      </c>
    </row>
    <row r="220" spans="2:6" ht="13.2">
      <c r="B220" s="175">
        <v>304</v>
      </c>
      <c r="C220" s="176" t="s">
        <v>409</v>
      </c>
      <c r="D220" s="182" t="s">
        <v>779</v>
      </c>
      <c r="E220" s="182" t="s">
        <v>780</v>
      </c>
      <c r="F220" s="182" t="s">
        <v>780</v>
      </c>
    </row>
    <row r="221" spans="2:6">
      <c r="B221" s="175">
        <v>305</v>
      </c>
      <c r="C221" s="176" t="s">
        <v>409</v>
      </c>
      <c r="D221" s="182" t="s">
        <v>781</v>
      </c>
      <c r="E221" s="182" t="s">
        <v>782</v>
      </c>
      <c r="F221" s="182" t="s">
        <v>782</v>
      </c>
    </row>
    <row r="222" spans="2:6">
      <c r="B222" s="175">
        <v>306</v>
      </c>
      <c r="C222" s="176" t="s">
        <v>409</v>
      </c>
      <c r="D222" s="182" t="s">
        <v>783</v>
      </c>
      <c r="E222" s="182" t="s">
        <v>784</v>
      </c>
      <c r="F222" s="182" t="s">
        <v>784</v>
      </c>
    </row>
    <row r="223" spans="2:6">
      <c r="B223" s="175">
        <v>307</v>
      </c>
      <c r="C223" s="176" t="s">
        <v>409</v>
      </c>
      <c r="D223" s="182" t="s">
        <v>785</v>
      </c>
      <c r="E223" s="182" t="s">
        <v>786</v>
      </c>
      <c r="F223" s="182" t="s">
        <v>786</v>
      </c>
    </row>
    <row r="224" spans="2:6">
      <c r="B224" s="175">
        <v>308</v>
      </c>
      <c r="C224" s="176" t="s">
        <v>409</v>
      </c>
      <c r="D224" s="182" t="s">
        <v>787</v>
      </c>
      <c r="E224" s="182" t="s">
        <v>788</v>
      </c>
      <c r="F224" s="182" t="s">
        <v>788</v>
      </c>
    </row>
    <row r="225" spans="2:6">
      <c r="B225" s="175">
        <v>309</v>
      </c>
      <c r="C225" s="176" t="s">
        <v>409</v>
      </c>
      <c r="D225" s="182" t="s">
        <v>789</v>
      </c>
      <c r="E225" s="182" t="s">
        <v>790</v>
      </c>
      <c r="F225" s="182" t="s">
        <v>790</v>
      </c>
    </row>
    <row r="226" spans="2:6">
      <c r="B226" s="175">
        <v>310</v>
      </c>
      <c r="C226" s="176" t="s">
        <v>409</v>
      </c>
      <c r="D226" s="182" t="s">
        <v>791</v>
      </c>
      <c r="E226" s="182" t="s">
        <v>792</v>
      </c>
      <c r="F226" s="182" t="s">
        <v>792</v>
      </c>
    </row>
    <row r="227" spans="2:6">
      <c r="B227" s="175">
        <v>311</v>
      </c>
      <c r="C227" s="176" t="s">
        <v>409</v>
      </c>
      <c r="D227" s="182" t="s">
        <v>793</v>
      </c>
      <c r="E227" s="182" t="s">
        <v>794</v>
      </c>
      <c r="F227" s="182" t="s">
        <v>794</v>
      </c>
    </row>
    <row r="228" spans="2:6">
      <c r="B228" s="175">
        <v>312</v>
      </c>
      <c r="C228" s="176" t="s">
        <v>409</v>
      </c>
      <c r="D228" s="182" t="s">
        <v>795</v>
      </c>
      <c r="E228" s="182" t="s">
        <v>796</v>
      </c>
      <c r="F228" s="182" t="s">
        <v>796</v>
      </c>
    </row>
    <row r="229" spans="2:6">
      <c r="B229" s="175">
        <v>313</v>
      </c>
      <c r="C229" s="176" t="s">
        <v>409</v>
      </c>
      <c r="D229" s="182" t="s">
        <v>797</v>
      </c>
      <c r="E229" s="182" t="s">
        <v>798</v>
      </c>
      <c r="F229" s="182" t="s">
        <v>798</v>
      </c>
    </row>
    <row r="230" spans="2:6">
      <c r="B230" s="175">
        <v>314</v>
      </c>
      <c r="C230" s="176" t="s">
        <v>409</v>
      </c>
      <c r="D230" s="182" t="s">
        <v>799</v>
      </c>
      <c r="E230" s="182" t="s">
        <v>800</v>
      </c>
      <c r="F230" s="182" t="s">
        <v>800</v>
      </c>
    </row>
    <row r="231" spans="2:6">
      <c r="B231" s="175">
        <v>315</v>
      </c>
      <c r="C231" s="176" t="s">
        <v>409</v>
      </c>
      <c r="D231" s="182" t="s">
        <v>801</v>
      </c>
      <c r="E231" s="177" t="s">
        <v>802</v>
      </c>
      <c r="F231" s="177" t="s">
        <v>802</v>
      </c>
    </row>
    <row r="232" spans="2:6">
      <c r="B232" s="175">
        <v>316</v>
      </c>
      <c r="C232" s="176" t="s">
        <v>409</v>
      </c>
      <c r="D232" s="182" t="s">
        <v>803</v>
      </c>
      <c r="E232" s="177" t="s">
        <v>804</v>
      </c>
      <c r="F232" s="177" t="s">
        <v>804</v>
      </c>
    </row>
    <row r="233" spans="2:6">
      <c r="B233" s="175">
        <v>317</v>
      </c>
      <c r="C233" s="176" t="s">
        <v>409</v>
      </c>
      <c r="D233" s="182" t="s">
        <v>805</v>
      </c>
      <c r="E233" s="177" t="s">
        <v>806</v>
      </c>
      <c r="F233" s="177" t="s">
        <v>806</v>
      </c>
    </row>
    <row r="234" spans="2:6">
      <c r="B234" s="175">
        <v>318</v>
      </c>
      <c r="C234" s="176" t="s">
        <v>409</v>
      </c>
      <c r="D234" s="182" t="s">
        <v>807</v>
      </c>
      <c r="E234" s="177" t="s">
        <v>808</v>
      </c>
      <c r="F234" s="177" t="s">
        <v>808</v>
      </c>
    </row>
    <row r="235" spans="2:6">
      <c r="B235" s="175">
        <v>319</v>
      </c>
      <c r="C235" s="176" t="s">
        <v>409</v>
      </c>
      <c r="D235" s="182" t="s">
        <v>809</v>
      </c>
      <c r="E235" s="182" t="s">
        <v>810</v>
      </c>
      <c r="F235" s="182" t="s">
        <v>810</v>
      </c>
    </row>
    <row r="236" spans="2:6">
      <c r="B236" s="175">
        <v>320</v>
      </c>
      <c r="C236" s="176" t="s">
        <v>409</v>
      </c>
      <c r="D236" s="182" t="s">
        <v>811</v>
      </c>
      <c r="E236" s="182" t="s">
        <v>812</v>
      </c>
      <c r="F236" s="182" t="s">
        <v>812</v>
      </c>
    </row>
    <row r="237" spans="2:6">
      <c r="B237" s="175">
        <v>321</v>
      </c>
      <c r="C237" s="176" t="s">
        <v>409</v>
      </c>
      <c r="D237" s="182" t="s">
        <v>813</v>
      </c>
      <c r="E237" s="182" t="s">
        <v>814</v>
      </c>
      <c r="F237" s="182" t="s">
        <v>814</v>
      </c>
    </row>
    <row r="238" spans="2:6">
      <c r="B238" s="175">
        <v>322</v>
      </c>
      <c r="C238" s="176" t="s">
        <v>409</v>
      </c>
      <c r="D238" s="182"/>
      <c r="E238" s="182"/>
      <c r="F238" s="182"/>
    </row>
    <row r="239" spans="2:6" ht="26.4">
      <c r="B239" s="175">
        <v>323</v>
      </c>
      <c r="D239" s="177" t="s">
        <v>815</v>
      </c>
      <c r="E239" s="177" t="s">
        <v>816</v>
      </c>
      <c r="F239" s="177" t="s">
        <v>816</v>
      </c>
    </row>
    <row r="240" spans="2:6" ht="26.4">
      <c r="B240" s="175">
        <v>324</v>
      </c>
      <c r="D240" s="177" t="s">
        <v>817</v>
      </c>
      <c r="E240" s="177" t="s">
        <v>818</v>
      </c>
      <c r="F240" s="177" t="s">
        <v>818</v>
      </c>
    </row>
    <row r="241" spans="2:6" ht="26.4">
      <c r="B241" s="175">
        <v>325</v>
      </c>
      <c r="D241" s="177" t="s">
        <v>819</v>
      </c>
      <c r="E241" s="177" t="s">
        <v>820</v>
      </c>
      <c r="F241" s="177" t="s">
        <v>820</v>
      </c>
    </row>
    <row r="242" spans="2:6" ht="24">
      <c r="B242" s="175">
        <v>326</v>
      </c>
      <c r="C242" s="176" t="s">
        <v>409</v>
      </c>
      <c r="D242" s="177" t="s">
        <v>19</v>
      </c>
      <c r="E242" s="177" t="s">
        <v>821</v>
      </c>
      <c r="F242" s="177" t="s">
        <v>821</v>
      </c>
    </row>
    <row r="243" spans="2:6" ht="13.2">
      <c r="B243" s="175">
        <v>327</v>
      </c>
      <c r="D243" s="177" t="s">
        <v>822</v>
      </c>
      <c r="E243" s="177" t="s">
        <v>823</v>
      </c>
      <c r="F243" s="177" t="s">
        <v>823</v>
      </c>
    </row>
    <row r="244" spans="2:6" ht="13.2">
      <c r="B244" s="175">
        <v>328</v>
      </c>
      <c r="C244" s="176" t="s">
        <v>466</v>
      </c>
      <c r="D244" s="177" t="s">
        <v>824</v>
      </c>
      <c r="E244" s="177" t="s">
        <v>825</v>
      </c>
      <c r="F244" s="177" t="s">
        <v>825</v>
      </c>
    </row>
    <row r="245" spans="2:6" ht="13.2">
      <c r="B245" s="175">
        <v>329</v>
      </c>
      <c r="D245" s="177" t="s">
        <v>826</v>
      </c>
      <c r="E245" s="177" t="s">
        <v>827</v>
      </c>
      <c r="F245" s="177" t="s">
        <v>827</v>
      </c>
    </row>
    <row r="246" spans="2:6" ht="13.2">
      <c r="B246" s="175">
        <v>330</v>
      </c>
      <c r="D246" s="177" t="s">
        <v>828</v>
      </c>
      <c r="E246" s="177" t="s">
        <v>829</v>
      </c>
      <c r="F246" s="177" t="s">
        <v>829</v>
      </c>
    </row>
    <row r="247" spans="2:6" ht="13.2">
      <c r="B247" s="175">
        <v>331</v>
      </c>
      <c r="D247" s="177" t="s">
        <v>830</v>
      </c>
      <c r="E247" s="177" t="s">
        <v>831</v>
      </c>
      <c r="F247" s="177" t="s">
        <v>831</v>
      </c>
    </row>
    <row r="248" spans="2:6" ht="13.2">
      <c r="B248" s="175">
        <v>332</v>
      </c>
      <c r="C248" s="176" t="s">
        <v>466</v>
      </c>
      <c r="D248" s="174" t="s">
        <v>832</v>
      </c>
      <c r="E248" s="182" t="s">
        <v>833</v>
      </c>
      <c r="F248" s="182" t="s">
        <v>833</v>
      </c>
    </row>
    <row r="249" spans="2:6" ht="13.2">
      <c r="B249" s="175">
        <v>333</v>
      </c>
      <c r="C249" s="176" t="s">
        <v>466</v>
      </c>
      <c r="D249" s="174" t="s">
        <v>834</v>
      </c>
      <c r="E249" s="182" t="s">
        <v>835</v>
      </c>
      <c r="F249" s="182" t="s">
        <v>835</v>
      </c>
    </row>
    <row r="250" spans="2:6" ht="13.2">
      <c r="B250" s="175">
        <v>334</v>
      </c>
      <c r="D250" s="177" t="s">
        <v>836</v>
      </c>
      <c r="E250" s="177" t="s">
        <v>837</v>
      </c>
      <c r="F250" s="177" t="s">
        <v>837</v>
      </c>
    </row>
    <row r="251" spans="2:6" ht="13.2">
      <c r="B251" s="175">
        <v>335</v>
      </c>
      <c r="C251" s="176" t="s">
        <v>466</v>
      </c>
      <c r="D251" s="177" t="s">
        <v>838</v>
      </c>
      <c r="E251" s="177" t="s">
        <v>839</v>
      </c>
      <c r="F251" s="177" t="s">
        <v>839</v>
      </c>
    </row>
    <row r="252" spans="2:6" ht="13.2">
      <c r="B252" s="175">
        <v>336</v>
      </c>
      <c r="C252" s="176" t="s">
        <v>466</v>
      </c>
      <c r="D252" s="174" t="s">
        <v>840</v>
      </c>
      <c r="E252" s="182" t="s">
        <v>841</v>
      </c>
      <c r="F252" s="182" t="s">
        <v>841</v>
      </c>
    </row>
    <row r="253" spans="2:6" ht="26.4">
      <c r="B253" s="175">
        <v>337</v>
      </c>
      <c r="D253" s="177" t="s">
        <v>842</v>
      </c>
      <c r="E253" s="177" t="s">
        <v>843</v>
      </c>
      <c r="F253" s="177" t="s">
        <v>843</v>
      </c>
    </row>
    <row r="254" spans="2:6" ht="26.4">
      <c r="B254" s="175">
        <v>338</v>
      </c>
      <c r="D254" s="177" t="s">
        <v>844</v>
      </c>
      <c r="E254" s="177" t="s">
        <v>845</v>
      </c>
      <c r="F254" s="177" t="s">
        <v>845</v>
      </c>
    </row>
    <row r="255" spans="2:6" ht="13.2">
      <c r="B255" s="175">
        <v>339</v>
      </c>
      <c r="D255" s="177" t="s">
        <v>846</v>
      </c>
      <c r="E255" s="177" t="s">
        <v>847</v>
      </c>
      <c r="F255" s="177" t="s">
        <v>847</v>
      </c>
    </row>
    <row r="256" spans="2:6" ht="13.2">
      <c r="B256" s="175">
        <v>340</v>
      </c>
      <c r="D256" s="177" t="s">
        <v>848</v>
      </c>
      <c r="E256" s="177" t="s">
        <v>849</v>
      </c>
      <c r="F256" s="177" t="s">
        <v>849</v>
      </c>
    </row>
    <row r="257" spans="2:6" ht="13.2">
      <c r="B257" s="175">
        <v>341</v>
      </c>
      <c r="D257" s="177" t="s">
        <v>850</v>
      </c>
      <c r="E257" s="177" t="s">
        <v>851</v>
      </c>
      <c r="F257" s="177" t="s">
        <v>851</v>
      </c>
    </row>
    <row r="258" spans="2:6" ht="13.2">
      <c r="B258" s="175">
        <v>342</v>
      </c>
      <c r="D258" s="177" t="s">
        <v>852</v>
      </c>
      <c r="E258" s="177" t="s">
        <v>853</v>
      </c>
      <c r="F258" s="177" t="s">
        <v>853</v>
      </c>
    </row>
    <row r="259" spans="2:6" ht="13.2">
      <c r="B259" s="175">
        <v>343</v>
      </c>
      <c r="C259" s="176" t="s">
        <v>409</v>
      </c>
      <c r="D259" s="177" t="s">
        <v>37</v>
      </c>
      <c r="E259" s="177" t="s">
        <v>854</v>
      </c>
      <c r="F259" s="177" t="s">
        <v>854</v>
      </c>
    </row>
    <row r="260" spans="2:6" ht="13.2">
      <c r="B260" s="175">
        <v>344</v>
      </c>
      <c r="C260" s="176" t="s">
        <v>409</v>
      </c>
      <c r="D260" s="177" t="s">
        <v>855</v>
      </c>
      <c r="E260" s="177" t="s">
        <v>856</v>
      </c>
      <c r="F260" s="177" t="s">
        <v>856</v>
      </c>
    </row>
    <row r="261" spans="2:6" ht="13.2">
      <c r="B261" s="175">
        <v>345</v>
      </c>
      <c r="D261" s="177" t="s">
        <v>857</v>
      </c>
      <c r="E261" s="177" t="s">
        <v>858</v>
      </c>
      <c r="F261" s="177" t="s">
        <v>858</v>
      </c>
    </row>
    <row r="262" spans="2:6" ht="26.4">
      <c r="B262" s="175">
        <v>346</v>
      </c>
      <c r="C262" s="176" t="s">
        <v>409</v>
      </c>
      <c r="D262" s="177" t="s">
        <v>38</v>
      </c>
      <c r="E262" s="177" t="s">
        <v>859</v>
      </c>
      <c r="F262" s="177" t="s">
        <v>859</v>
      </c>
    </row>
    <row r="263" spans="2:6" ht="13.2">
      <c r="B263" s="175">
        <v>347</v>
      </c>
      <c r="D263" s="177" t="s">
        <v>860</v>
      </c>
      <c r="E263" s="177" t="s">
        <v>861</v>
      </c>
      <c r="F263" s="177" t="s">
        <v>861</v>
      </c>
    </row>
    <row r="264" spans="2:6" ht="13.2">
      <c r="B264" s="175">
        <v>348</v>
      </c>
      <c r="D264" s="177" t="s">
        <v>862</v>
      </c>
      <c r="E264" s="177" t="s">
        <v>863</v>
      </c>
      <c r="F264" s="177" t="s">
        <v>863</v>
      </c>
    </row>
    <row r="265" spans="2:6" ht="13.2">
      <c r="B265" s="175">
        <v>349</v>
      </c>
      <c r="D265" s="177" t="s">
        <v>864</v>
      </c>
      <c r="E265" s="177" t="s">
        <v>865</v>
      </c>
      <c r="F265" s="177" t="s">
        <v>865</v>
      </c>
    </row>
    <row r="266" spans="2:6" ht="13.2">
      <c r="B266" s="175">
        <v>350</v>
      </c>
      <c r="C266" s="176" t="s">
        <v>409</v>
      </c>
      <c r="D266" s="177" t="s">
        <v>40</v>
      </c>
      <c r="E266" s="177" t="s">
        <v>866</v>
      </c>
      <c r="F266" s="177" t="s">
        <v>866</v>
      </c>
    </row>
    <row r="267" spans="2:6" ht="13.2">
      <c r="B267" s="175">
        <v>351</v>
      </c>
      <c r="C267" s="176" t="s">
        <v>466</v>
      </c>
      <c r="D267" s="174" t="s">
        <v>867</v>
      </c>
      <c r="E267" s="182" t="s">
        <v>868</v>
      </c>
      <c r="F267" s="182" t="s">
        <v>868</v>
      </c>
    </row>
    <row r="268" spans="2:6" ht="26.4">
      <c r="B268" s="175">
        <v>352</v>
      </c>
      <c r="C268" s="176" t="s">
        <v>409</v>
      </c>
      <c r="D268" s="177" t="s">
        <v>869</v>
      </c>
      <c r="E268" s="177" t="s">
        <v>870</v>
      </c>
      <c r="F268" s="177" t="s">
        <v>870</v>
      </c>
    </row>
    <row r="269" spans="2:6" ht="24">
      <c r="B269" s="175">
        <v>353</v>
      </c>
      <c r="D269" s="177" t="s">
        <v>871</v>
      </c>
      <c r="F269" s="177"/>
    </row>
    <row r="270" spans="2:6" ht="13.2">
      <c r="B270" s="175">
        <v>354</v>
      </c>
      <c r="D270" s="177" t="s">
        <v>872</v>
      </c>
      <c r="E270" s="177" t="s">
        <v>873</v>
      </c>
      <c r="F270" s="177" t="s">
        <v>873</v>
      </c>
    </row>
    <row r="271" spans="2:6" ht="13.2">
      <c r="B271" s="175">
        <v>355</v>
      </c>
      <c r="D271" s="177" t="s">
        <v>874</v>
      </c>
      <c r="E271" s="177" t="s">
        <v>875</v>
      </c>
      <c r="F271" s="177" t="s">
        <v>875</v>
      </c>
    </row>
    <row r="272" spans="2:6" ht="13.2">
      <c r="B272" s="175">
        <v>356</v>
      </c>
      <c r="D272" s="177" t="s">
        <v>876</v>
      </c>
      <c r="E272" s="177" t="s">
        <v>877</v>
      </c>
      <c r="F272" s="177" t="s">
        <v>877</v>
      </c>
    </row>
    <row r="273" spans="2:6" ht="13.2">
      <c r="B273" s="175">
        <v>357</v>
      </c>
      <c r="C273" s="176" t="s">
        <v>409</v>
      </c>
      <c r="D273" s="177" t="s">
        <v>25</v>
      </c>
      <c r="E273" s="177" t="s">
        <v>878</v>
      </c>
      <c r="F273" s="177" t="s">
        <v>878</v>
      </c>
    </row>
    <row r="274" spans="2:6" ht="13.2">
      <c r="B274" s="175">
        <v>358</v>
      </c>
      <c r="D274" s="177" t="s">
        <v>879</v>
      </c>
      <c r="E274" s="177" t="s">
        <v>880</v>
      </c>
      <c r="F274" s="177" t="s">
        <v>880</v>
      </c>
    </row>
    <row r="275" spans="2:6" ht="13.2">
      <c r="B275" s="175">
        <v>359</v>
      </c>
      <c r="D275" s="177" t="s">
        <v>881</v>
      </c>
      <c r="E275" s="177" t="s">
        <v>882</v>
      </c>
      <c r="F275" s="177" t="s">
        <v>882</v>
      </c>
    </row>
    <row r="276" spans="2:6" ht="13.2">
      <c r="B276" s="175">
        <v>360</v>
      </c>
      <c r="D276" s="177" t="s">
        <v>883</v>
      </c>
      <c r="E276" s="177" t="s">
        <v>884</v>
      </c>
      <c r="F276" s="177" t="s">
        <v>884</v>
      </c>
    </row>
    <row r="277" spans="2:6" ht="26.4">
      <c r="B277" s="175">
        <v>361</v>
      </c>
      <c r="C277" s="176" t="s">
        <v>409</v>
      </c>
      <c r="D277" s="177" t="s">
        <v>14</v>
      </c>
      <c r="E277" s="177" t="s">
        <v>885</v>
      </c>
      <c r="F277" s="177" t="s">
        <v>885</v>
      </c>
    </row>
    <row r="278" spans="2:6" ht="39.6">
      <c r="B278" s="175">
        <v>362</v>
      </c>
      <c r="C278" s="176" t="s">
        <v>409</v>
      </c>
      <c r="D278" s="177" t="s">
        <v>30</v>
      </c>
      <c r="E278" s="177" t="s">
        <v>886</v>
      </c>
      <c r="F278" s="177" t="s">
        <v>886</v>
      </c>
    </row>
    <row r="279" spans="2:6" ht="13.2">
      <c r="B279" s="175">
        <v>363</v>
      </c>
      <c r="D279" s="177" t="s">
        <v>887</v>
      </c>
      <c r="E279" s="177" t="s">
        <v>888</v>
      </c>
      <c r="F279" s="177" t="s">
        <v>888</v>
      </c>
    </row>
    <row r="280" spans="2:6">
      <c r="B280" s="175">
        <v>364</v>
      </c>
      <c r="D280" s="177" t="s">
        <v>889</v>
      </c>
      <c r="E280" s="177" t="s">
        <v>889</v>
      </c>
      <c r="F280" s="177" t="s">
        <v>889</v>
      </c>
    </row>
    <row r="281" spans="2:6">
      <c r="B281" s="175">
        <v>365</v>
      </c>
      <c r="D281" s="177" t="s">
        <v>890</v>
      </c>
      <c r="E281" s="177" t="s">
        <v>890</v>
      </c>
      <c r="F281" s="177" t="s">
        <v>890</v>
      </c>
    </row>
    <row r="282" spans="2:6" ht="13.2">
      <c r="B282" s="175">
        <v>366</v>
      </c>
      <c r="D282" s="177" t="s">
        <v>891</v>
      </c>
      <c r="E282" s="177" t="s">
        <v>892</v>
      </c>
      <c r="F282" s="177" t="s">
        <v>892</v>
      </c>
    </row>
    <row r="283" spans="2:6">
      <c r="B283" s="175">
        <v>367</v>
      </c>
      <c r="D283" s="177" t="s">
        <v>893</v>
      </c>
      <c r="E283" s="177" t="s">
        <v>894</v>
      </c>
      <c r="F283" s="177" t="s">
        <v>894</v>
      </c>
    </row>
    <row r="284" spans="2:6" ht="13.2">
      <c r="B284" s="175">
        <v>368</v>
      </c>
      <c r="D284" s="177" t="s">
        <v>895</v>
      </c>
      <c r="E284" s="177" t="s">
        <v>896</v>
      </c>
      <c r="F284" s="177" t="s">
        <v>896</v>
      </c>
    </row>
    <row r="285" spans="2:6">
      <c r="B285" s="175">
        <v>369</v>
      </c>
      <c r="D285" s="177" t="s">
        <v>897</v>
      </c>
      <c r="E285" s="177" t="s">
        <v>898</v>
      </c>
      <c r="F285" s="177" t="s">
        <v>898</v>
      </c>
    </row>
    <row r="286" spans="2:6" ht="13.2">
      <c r="B286" s="175">
        <v>370</v>
      </c>
      <c r="D286" s="177" t="s">
        <v>899</v>
      </c>
      <c r="E286" s="177" t="s">
        <v>900</v>
      </c>
      <c r="F286" s="177" t="s">
        <v>900</v>
      </c>
    </row>
    <row r="287" spans="2:6" ht="13.2">
      <c r="B287" s="175">
        <v>371</v>
      </c>
      <c r="D287" s="177" t="s">
        <v>901</v>
      </c>
      <c r="E287" s="177" t="s">
        <v>902</v>
      </c>
      <c r="F287" s="177" t="s">
        <v>902</v>
      </c>
    </row>
    <row r="288" spans="2:6" ht="13.2">
      <c r="B288" s="175">
        <v>372</v>
      </c>
      <c r="D288" s="177" t="s">
        <v>903</v>
      </c>
      <c r="E288" s="177" t="s">
        <v>904</v>
      </c>
      <c r="F288" s="177" t="s">
        <v>904</v>
      </c>
    </row>
    <row r="289" spans="2:6" ht="13.2">
      <c r="B289" s="175">
        <v>373</v>
      </c>
      <c r="D289" s="177" t="s">
        <v>905</v>
      </c>
      <c r="E289" s="177" t="s">
        <v>906</v>
      </c>
      <c r="F289" s="177" t="s">
        <v>906</v>
      </c>
    </row>
    <row r="290" spans="2:6" ht="13.2">
      <c r="B290" s="175">
        <v>374</v>
      </c>
      <c r="D290" s="177" t="s">
        <v>907</v>
      </c>
      <c r="E290" s="177" t="s">
        <v>904</v>
      </c>
      <c r="F290" s="177" t="s">
        <v>904</v>
      </c>
    </row>
    <row r="291" spans="2:6" ht="13.2">
      <c r="B291" s="175">
        <v>375</v>
      </c>
      <c r="C291" s="176" t="s">
        <v>409</v>
      </c>
      <c r="D291" s="177" t="s">
        <v>908</v>
      </c>
      <c r="E291" s="177" t="s">
        <v>909</v>
      </c>
      <c r="F291" s="177" t="s">
        <v>909</v>
      </c>
    </row>
    <row r="292" spans="2:6" ht="13.2">
      <c r="B292" s="175">
        <v>376</v>
      </c>
      <c r="D292" s="177" t="s">
        <v>910</v>
      </c>
      <c r="E292" s="177" t="s">
        <v>911</v>
      </c>
      <c r="F292" s="177" t="s">
        <v>911</v>
      </c>
    </row>
    <row r="293" spans="2:6" ht="13.2">
      <c r="B293" s="175">
        <v>377</v>
      </c>
      <c r="D293" s="177" t="s">
        <v>912</v>
      </c>
      <c r="E293" s="177" t="s">
        <v>913</v>
      </c>
      <c r="F293" s="177" t="s">
        <v>913</v>
      </c>
    </row>
    <row r="294" spans="2:6" ht="13.2">
      <c r="B294" s="175">
        <v>378</v>
      </c>
      <c r="D294" s="177" t="s">
        <v>914</v>
      </c>
      <c r="E294" s="177" t="s">
        <v>915</v>
      </c>
      <c r="F294" s="177" t="s">
        <v>915</v>
      </c>
    </row>
    <row r="295" spans="2:6" ht="13.2">
      <c r="B295" s="175">
        <v>379</v>
      </c>
      <c r="C295" s="176" t="s">
        <v>466</v>
      </c>
      <c r="D295" s="174" t="s">
        <v>916</v>
      </c>
      <c r="E295" s="182" t="s">
        <v>917</v>
      </c>
      <c r="F295" s="182" t="s">
        <v>917</v>
      </c>
    </row>
    <row r="296" spans="2:6" ht="13.2">
      <c r="B296" s="175">
        <v>380</v>
      </c>
      <c r="D296" s="177" t="s">
        <v>918</v>
      </c>
      <c r="E296" s="177" t="s">
        <v>919</v>
      </c>
      <c r="F296" s="177" t="s">
        <v>919</v>
      </c>
    </row>
    <row r="297" spans="2:6" ht="13.2">
      <c r="B297" s="175">
        <v>381</v>
      </c>
      <c r="D297" s="177" t="s">
        <v>920</v>
      </c>
      <c r="E297" s="177" t="s">
        <v>921</v>
      </c>
      <c r="F297" s="177" t="s">
        <v>921</v>
      </c>
    </row>
    <row r="298" spans="2:6" ht="13.2">
      <c r="B298" s="175">
        <v>382</v>
      </c>
      <c r="C298" s="176" t="s">
        <v>922</v>
      </c>
      <c r="D298" s="177" t="s">
        <v>923</v>
      </c>
      <c r="E298" s="177" t="s">
        <v>924</v>
      </c>
      <c r="F298" s="177" t="s">
        <v>924</v>
      </c>
    </row>
    <row r="299" spans="2:6" ht="13.2">
      <c r="B299" s="175">
        <v>383</v>
      </c>
      <c r="D299" s="177" t="s">
        <v>925</v>
      </c>
      <c r="E299" s="177" t="s">
        <v>926</v>
      </c>
      <c r="F299" s="177" t="s">
        <v>926</v>
      </c>
    </row>
    <row r="300" spans="2:6" ht="13.2">
      <c r="B300" s="175">
        <v>384</v>
      </c>
      <c r="D300" s="177" t="s">
        <v>927</v>
      </c>
      <c r="E300" s="177" t="s">
        <v>928</v>
      </c>
      <c r="F300" s="177" t="s">
        <v>928</v>
      </c>
    </row>
    <row r="301" spans="2:6" ht="13.2">
      <c r="B301" s="175">
        <v>385</v>
      </c>
      <c r="D301" s="177" t="s">
        <v>929</v>
      </c>
      <c r="E301" s="177" t="s">
        <v>930</v>
      </c>
      <c r="F301" s="177" t="s">
        <v>930</v>
      </c>
    </row>
    <row r="302" spans="2:6" ht="13.2">
      <c r="B302" s="175">
        <v>386</v>
      </c>
      <c r="D302" s="177" t="s">
        <v>931</v>
      </c>
      <c r="E302" s="177" t="s">
        <v>932</v>
      </c>
      <c r="F302" s="177" t="s">
        <v>932</v>
      </c>
    </row>
    <row r="303" spans="2:6" ht="13.2">
      <c r="B303" s="175">
        <v>387</v>
      </c>
      <c r="D303" s="177" t="s">
        <v>60</v>
      </c>
      <c r="E303" s="177" t="s">
        <v>933</v>
      </c>
      <c r="F303" s="177" t="s">
        <v>933</v>
      </c>
    </row>
    <row r="304" spans="2:6" ht="13.2">
      <c r="B304" s="175">
        <v>388</v>
      </c>
      <c r="D304" s="177" t="s">
        <v>934</v>
      </c>
      <c r="E304" s="177" t="s">
        <v>935</v>
      </c>
      <c r="F304" s="177" t="s">
        <v>935</v>
      </c>
    </row>
    <row r="305" spans="2:6" ht="24">
      <c r="B305" s="175">
        <v>389</v>
      </c>
      <c r="D305" s="177" t="s">
        <v>936</v>
      </c>
      <c r="E305" s="177" t="s">
        <v>937</v>
      </c>
      <c r="F305" s="177" t="s">
        <v>937</v>
      </c>
    </row>
    <row r="306" spans="2:6" ht="13.2">
      <c r="B306" s="175">
        <v>390</v>
      </c>
      <c r="D306" s="177" t="s">
        <v>938</v>
      </c>
      <c r="E306" s="177" t="s">
        <v>939</v>
      </c>
      <c r="F306" s="177" t="s">
        <v>939</v>
      </c>
    </row>
    <row r="307" spans="2:6" ht="26.4">
      <c r="B307" s="175">
        <v>391</v>
      </c>
      <c r="D307" s="177" t="s">
        <v>940</v>
      </c>
      <c r="E307" s="177" t="s">
        <v>941</v>
      </c>
      <c r="F307" s="177" t="s">
        <v>941</v>
      </c>
    </row>
    <row r="308" spans="2:6" ht="13.2">
      <c r="B308" s="175">
        <v>392</v>
      </c>
      <c r="D308" s="177" t="s">
        <v>942</v>
      </c>
      <c r="E308" s="177" t="s">
        <v>943</v>
      </c>
      <c r="F308" s="177" t="s">
        <v>943</v>
      </c>
    </row>
    <row r="309" spans="2:6" ht="13.2">
      <c r="B309" s="175">
        <v>393</v>
      </c>
      <c r="D309" s="177" t="s">
        <v>944</v>
      </c>
      <c r="E309" s="177" t="s">
        <v>945</v>
      </c>
      <c r="F309" s="177" t="s">
        <v>945</v>
      </c>
    </row>
    <row r="310" spans="2:6" ht="13.2">
      <c r="B310" s="175">
        <v>394</v>
      </c>
      <c r="D310" s="177" t="s">
        <v>946</v>
      </c>
      <c r="E310" s="177" t="s">
        <v>947</v>
      </c>
      <c r="F310" s="177" t="s">
        <v>947</v>
      </c>
    </row>
    <row r="311" spans="2:6" ht="13.2">
      <c r="B311" s="175">
        <v>395</v>
      </c>
      <c r="D311" s="177" t="s">
        <v>948</v>
      </c>
      <c r="E311" s="177" t="s">
        <v>949</v>
      </c>
      <c r="F311" s="177" t="s">
        <v>949</v>
      </c>
    </row>
    <row r="312" spans="2:6" ht="13.2">
      <c r="B312" s="175">
        <v>396</v>
      </c>
      <c r="D312" s="177" t="s">
        <v>950</v>
      </c>
      <c r="E312" s="177" t="s">
        <v>951</v>
      </c>
      <c r="F312" s="177" t="s">
        <v>951</v>
      </c>
    </row>
    <row r="313" spans="2:6" ht="13.2">
      <c r="B313" s="175">
        <v>397</v>
      </c>
      <c r="D313" s="177" t="s">
        <v>952</v>
      </c>
      <c r="E313" s="177" t="s">
        <v>953</v>
      </c>
      <c r="F313" s="177" t="s">
        <v>953</v>
      </c>
    </row>
    <row r="314" spans="2:6" ht="13.2">
      <c r="B314" s="175">
        <v>398</v>
      </c>
      <c r="D314" s="177" t="s">
        <v>954</v>
      </c>
      <c r="E314" s="177" t="s">
        <v>955</v>
      </c>
      <c r="F314" s="177" t="s">
        <v>955</v>
      </c>
    </row>
    <row r="315" spans="2:6" ht="13.2">
      <c r="B315" s="175">
        <v>399</v>
      </c>
      <c r="D315" s="177" t="s">
        <v>956</v>
      </c>
      <c r="E315" s="177" t="s">
        <v>957</v>
      </c>
      <c r="F315" s="177" t="s">
        <v>957</v>
      </c>
    </row>
    <row r="316" spans="2:6" ht="13.2">
      <c r="B316" s="175">
        <v>400</v>
      </c>
      <c r="D316" s="177" t="s">
        <v>958</v>
      </c>
      <c r="E316" s="177" t="s">
        <v>959</v>
      </c>
      <c r="F316" s="177" t="s">
        <v>959</v>
      </c>
    </row>
    <row r="317" spans="2:6" ht="13.2">
      <c r="B317" s="175">
        <v>401</v>
      </c>
      <c r="C317" s="176" t="s">
        <v>457</v>
      </c>
      <c r="D317" s="177" t="s">
        <v>960</v>
      </c>
      <c r="E317" s="177" t="s">
        <v>961</v>
      </c>
      <c r="F317" s="177" t="s">
        <v>961</v>
      </c>
    </row>
    <row r="318" spans="2:6" ht="13.2">
      <c r="B318" s="175">
        <v>402</v>
      </c>
      <c r="C318" s="176" t="s">
        <v>466</v>
      </c>
      <c r="D318" s="174" t="s">
        <v>962</v>
      </c>
      <c r="E318" s="182" t="s">
        <v>963</v>
      </c>
      <c r="F318" s="182" t="s">
        <v>963</v>
      </c>
    </row>
    <row r="319" spans="2:6" ht="13.2">
      <c r="B319" s="175">
        <v>403</v>
      </c>
      <c r="D319" s="177" t="s">
        <v>964</v>
      </c>
      <c r="E319" s="177" t="s">
        <v>965</v>
      </c>
      <c r="F319" s="177" t="s">
        <v>965</v>
      </c>
    </row>
    <row r="320" spans="2:6" ht="26.4">
      <c r="B320" s="175">
        <v>404</v>
      </c>
      <c r="D320" s="177" t="s">
        <v>966</v>
      </c>
      <c r="E320" s="177" t="s">
        <v>967</v>
      </c>
      <c r="F320" s="177" t="s">
        <v>967</v>
      </c>
    </row>
    <row r="321" spans="1:6" ht="13.2">
      <c r="B321" s="175">
        <v>405</v>
      </c>
      <c r="D321" s="177" t="s">
        <v>968</v>
      </c>
      <c r="E321" s="177" t="s">
        <v>969</v>
      </c>
      <c r="F321" s="177" t="s">
        <v>969</v>
      </c>
    </row>
    <row r="322" spans="1:6" ht="13.2">
      <c r="B322" s="175">
        <v>406</v>
      </c>
      <c r="D322" s="177" t="s">
        <v>970</v>
      </c>
      <c r="E322" s="177" t="s">
        <v>971</v>
      </c>
      <c r="F322" s="177" t="s">
        <v>971</v>
      </c>
    </row>
    <row r="323" spans="1:6" ht="13.2">
      <c r="B323" s="175">
        <v>407</v>
      </c>
      <c r="C323" s="176" t="s">
        <v>466</v>
      </c>
      <c r="D323" s="174" t="s">
        <v>972</v>
      </c>
      <c r="E323" s="182" t="s">
        <v>973</v>
      </c>
      <c r="F323" s="182" t="s">
        <v>973</v>
      </c>
    </row>
    <row r="324" spans="1:6" ht="13.2">
      <c r="B324" s="175">
        <v>408</v>
      </c>
      <c r="D324" s="177" t="s">
        <v>974</v>
      </c>
      <c r="E324" s="177" t="s">
        <v>975</v>
      </c>
      <c r="F324" s="177" t="s">
        <v>975</v>
      </c>
    </row>
    <row r="325" spans="1:6" ht="13.2">
      <c r="B325" s="175">
        <v>409</v>
      </c>
      <c r="C325" s="176" t="s">
        <v>466</v>
      </c>
      <c r="D325" s="177" t="s">
        <v>976</v>
      </c>
      <c r="E325" s="182" t="s">
        <v>977</v>
      </c>
      <c r="F325" s="182" t="s">
        <v>977</v>
      </c>
    </row>
    <row r="326" spans="1:6" ht="13.2">
      <c r="B326" s="175">
        <v>410</v>
      </c>
      <c r="D326" s="177" t="s">
        <v>978</v>
      </c>
      <c r="E326" s="177" t="s">
        <v>979</v>
      </c>
      <c r="F326" s="177" t="s">
        <v>979</v>
      </c>
    </row>
    <row r="327" spans="1:6" ht="39.6">
      <c r="B327" s="175">
        <v>411</v>
      </c>
      <c r="D327" s="177" t="s">
        <v>980</v>
      </c>
      <c r="E327" s="177" t="s">
        <v>981</v>
      </c>
      <c r="F327" s="177" t="s">
        <v>981</v>
      </c>
    </row>
    <row r="328" spans="1:6" ht="13.2">
      <c r="B328" s="175">
        <v>412</v>
      </c>
      <c r="D328" s="177" t="s">
        <v>982</v>
      </c>
      <c r="E328" s="177" t="s">
        <v>983</v>
      </c>
      <c r="F328" s="177" t="s">
        <v>983</v>
      </c>
    </row>
    <row r="329" spans="1:6" ht="13.2">
      <c r="B329" s="175">
        <v>413</v>
      </c>
      <c r="D329" s="177" t="s">
        <v>984</v>
      </c>
      <c r="E329" s="177" t="s">
        <v>985</v>
      </c>
      <c r="F329" s="177" t="s">
        <v>985</v>
      </c>
    </row>
    <row r="330" spans="1:6" ht="26.4">
      <c r="B330" s="175">
        <v>414</v>
      </c>
      <c r="D330" s="177" t="s">
        <v>986</v>
      </c>
      <c r="E330" s="177" t="s">
        <v>987</v>
      </c>
      <c r="F330" s="177" t="s">
        <v>987</v>
      </c>
    </row>
    <row r="331" spans="1:6" ht="13.2">
      <c r="B331" s="175">
        <v>415</v>
      </c>
      <c r="D331" s="177" t="s">
        <v>988</v>
      </c>
      <c r="E331" s="177" t="s">
        <v>989</v>
      </c>
      <c r="F331" s="177" t="s">
        <v>989</v>
      </c>
    </row>
    <row r="332" spans="1:6" ht="13.2">
      <c r="B332" s="175">
        <v>416</v>
      </c>
      <c r="D332" s="177" t="s">
        <v>990</v>
      </c>
      <c r="E332" s="177" t="s">
        <v>991</v>
      </c>
      <c r="F332" s="177" t="s">
        <v>991</v>
      </c>
    </row>
    <row r="333" spans="1:6" ht="13.2">
      <c r="A333" s="179"/>
      <c r="B333" s="175">
        <v>417</v>
      </c>
      <c r="C333" s="180" t="s">
        <v>405</v>
      </c>
      <c r="D333" s="178" t="s">
        <v>992</v>
      </c>
      <c r="E333" s="178" t="s">
        <v>993</v>
      </c>
      <c r="F333" s="178" t="s">
        <v>993</v>
      </c>
    </row>
    <row r="334" spans="1:6" ht="13.2">
      <c r="A334" s="179"/>
      <c r="B334" s="175">
        <v>418</v>
      </c>
      <c r="C334" s="180" t="s">
        <v>405</v>
      </c>
      <c r="D334" s="178" t="s">
        <v>994</v>
      </c>
      <c r="E334" s="178" t="s">
        <v>995</v>
      </c>
      <c r="F334" s="178" t="s">
        <v>995</v>
      </c>
    </row>
    <row r="335" spans="1:6" ht="13.2">
      <c r="A335" s="179"/>
      <c r="B335" s="175">
        <v>419</v>
      </c>
      <c r="C335" s="180" t="s">
        <v>405</v>
      </c>
      <c r="D335" s="178" t="s">
        <v>996</v>
      </c>
      <c r="E335" s="178" t="s">
        <v>997</v>
      </c>
      <c r="F335" s="178" t="s">
        <v>997</v>
      </c>
    </row>
    <row r="336" spans="1:6" ht="13.2">
      <c r="B336" s="175">
        <v>420</v>
      </c>
      <c r="D336" s="177" t="s">
        <v>998</v>
      </c>
      <c r="E336" s="177" t="s">
        <v>993</v>
      </c>
      <c r="F336" s="177" t="s">
        <v>993</v>
      </c>
    </row>
    <row r="337" spans="2:6" ht="13.2">
      <c r="B337" s="175">
        <v>421</v>
      </c>
      <c r="D337" s="177" t="s">
        <v>999</v>
      </c>
      <c r="E337" s="178" t="s">
        <v>1000</v>
      </c>
      <c r="F337" s="178" t="s">
        <v>1000</v>
      </c>
    </row>
    <row r="338" spans="2:6" ht="13.2">
      <c r="B338" s="175">
        <v>422</v>
      </c>
      <c r="D338" s="177" t="s">
        <v>1001</v>
      </c>
      <c r="E338" s="177" t="s">
        <v>1002</v>
      </c>
      <c r="F338" s="177" t="s">
        <v>1002</v>
      </c>
    </row>
    <row r="339" spans="2:6" ht="13.2">
      <c r="B339" s="175">
        <v>423</v>
      </c>
      <c r="D339" s="177" t="s">
        <v>1003</v>
      </c>
      <c r="E339" s="177" t="s">
        <v>1004</v>
      </c>
      <c r="F339" s="177" t="s">
        <v>1004</v>
      </c>
    </row>
    <row r="340" spans="2:6" ht="13.2">
      <c r="B340" s="175">
        <v>424</v>
      </c>
      <c r="D340" s="177" t="s">
        <v>1005</v>
      </c>
      <c r="E340" s="177" t="s">
        <v>1006</v>
      </c>
      <c r="F340" s="177" t="s">
        <v>1006</v>
      </c>
    </row>
    <row r="341" spans="2:6" ht="13.2">
      <c r="B341" s="175">
        <v>425</v>
      </c>
      <c r="D341" s="177" t="s">
        <v>1007</v>
      </c>
      <c r="E341" s="177" t="s">
        <v>1008</v>
      </c>
      <c r="F341" s="177" t="s">
        <v>1008</v>
      </c>
    </row>
    <row r="342" spans="2:6" ht="13.2">
      <c r="B342" s="175">
        <v>426</v>
      </c>
      <c r="D342" s="177" t="s">
        <v>1009</v>
      </c>
      <c r="E342" s="177" t="s">
        <v>1010</v>
      </c>
      <c r="F342" s="177" t="s">
        <v>1010</v>
      </c>
    </row>
    <row r="343" spans="2:6" ht="13.2">
      <c r="B343" s="175">
        <v>427</v>
      </c>
      <c r="D343" s="177" t="s">
        <v>1011</v>
      </c>
      <c r="E343" s="177" t="s">
        <v>1012</v>
      </c>
      <c r="F343" s="177" t="s">
        <v>1012</v>
      </c>
    </row>
    <row r="344" spans="2:6" ht="13.2">
      <c r="B344" s="175">
        <v>428</v>
      </c>
      <c r="D344" s="177" t="s">
        <v>1013</v>
      </c>
      <c r="E344" s="177" t="s">
        <v>1014</v>
      </c>
      <c r="F344" s="177" t="s">
        <v>1014</v>
      </c>
    </row>
    <row r="345" spans="2:6" ht="13.2">
      <c r="B345" s="175">
        <v>429</v>
      </c>
      <c r="D345" s="177" t="s">
        <v>1015</v>
      </c>
      <c r="E345" s="177" t="s">
        <v>1016</v>
      </c>
      <c r="F345" s="177" t="s">
        <v>1016</v>
      </c>
    </row>
    <row r="346" spans="2:6" ht="13.2">
      <c r="B346" s="175">
        <v>430</v>
      </c>
      <c r="D346" s="177" t="s">
        <v>1017</v>
      </c>
      <c r="E346" s="177" t="s">
        <v>1018</v>
      </c>
      <c r="F346" s="177" t="s">
        <v>1018</v>
      </c>
    </row>
    <row r="347" spans="2:6" ht="13.2">
      <c r="B347" s="175">
        <v>431</v>
      </c>
      <c r="D347" s="177" t="s">
        <v>1019</v>
      </c>
      <c r="E347" s="177" t="s">
        <v>1020</v>
      </c>
      <c r="F347" s="177" t="s">
        <v>1020</v>
      </c>
    </row>
    <row r="348" spans="2:6" ht="13.2">
      <c r="B348" s="175">
        <v>432</v>
      </c>
      <c r="D348" s="177" t="s">
        <v>1021</v>
      </c>
      <c r="E348" s="177" t="s">
        <v>1022</v>
      </c>
      <c r="F348" s="177" t="s">
        <v>1022</v>
      </c>
    </row>
    <row r="349" spans="2:6" ht="13.2">
      <c r="B349" s="175">
        <v>433</v>
      </c>
      <c r="D349" s="177" t="s">
        <v>1023</v>
      </c>
      <c r="E349" s="177" t="s">
        <v>1024</v>
      </c>
      <c r="F349" s="177" t="s">
        <v>1024</v>
      </c>
    </row>
    <row r="350" spans="2:6" ht="13.2">
      <c r="B350" s="175">
        <v>434</v>
      </c>
      <c r="D350" s="177" t="s">
        <v>1025</v>
      </c>
      <c r="E350" s="177" t="s">
        <v>1026</v>
      </c>
      <c r="F350" s="177" t="s">
        <v>1026</v>
      </c>
    </row>
    <row r="351" spans="2:6" ht="13.2">
      <c r="B351" s="175">
        <v>435</v>
      </c>
      <c r="D351" s="177" t="s">
        <v>1027</v>
      </c>
      <c r="E351" s="177" t="s">
        <v>1028</v>
      </c>
      <c r="F351" s="177" t="s">
        <v>1028</v>
      </c>
    </row>
    <row r="352" spans="2:6" ht="13.2">
      <c r="B352" s="175">
        <v>436</v>
      </c>
      <c r="D352" s="177" t="s">
        <v>1029</v>
      </c>
      <c r="E352" s="177" t="s">
        <v>1030</v>
      </c>
      <c r="F352" s="177" t="s">
        <v>1030</v>
      </c>
    </row>
    <row r="353" spans="2:6" ht="13.2">
      <c r="B353" s="175">
        <v>437</v>
      </c>
      <c r="D353" s="177" t="s">
        <v>1031</v>
      </c>
      <c r="E353" s="177" t="s">
        <v>1032</v>
      </c>
      <c r="F353" s="177" t="s">
        <v>1032</v>
      </c>
    </row>
    <row r="354" spans="2:6" ht="13.2">
      <c r="B354" s="175">
        <v>438</v>
      </c>
      <c r="D354" s="177" t="s">
        <v>1033</v>
      </c>
      <c r="E354" s="177" t="s">
        <v>1034</v>
      </c>
      <c r="F354" s="177" t="s">
        <v>1034</v>
      </c>
    </row>
    <row r="355" spans="2:6" ht="13.2">
      <c r="B355" s="175">
        <v>439</v>
      </c>
      <c r="D355" s="177" t="s">
        <v>1035</v>
      </c>
      <c r="E355" s="177" t="s">
        <v>1036</v>
      </c>
      <c r="F355" s="177" t="s">
        <v>1036</v>
      </c>
    </row>
    <row r="356" spans="2:6" ht="13.2">
      <c r="B356" s="175">
        <v>440</v>
      </c>
      <c r="D356" s="177" t="s">
        <v>1037</v>
      </c>
      <c r="E356" s="177" t="s">
        <v>1038</v>
      </c>
      <c r="F356" s="177" t="s">
        <v>1038</v>
      </c>
    </row>
    <row r="357" spans="2:6" ht="13.2">
      <c r="B357" s="175">
        <v>441</v>
      </c>
      <c r="D357" s="177" t="s">
        <v>306</v>
      </c>
      <c r="E357" s="177" t="s">
        <v>1039</v>
      </c>
      <c r="F357" s="177" t="s">
        <v>1039</v>
      </c>
    </row>
    <row r="358" spans="2:6" ht="13.2">
      <c r="B358" s="175">
        <v>442</v>
      </c>
      <c r="D358" s="177" t="s">
        <v>1040</v>
      </c>
      <c r="E358" s="177" t="s">
        <v>1041</v>
      </c>
      <c r="F358" s="177" t="s">
        <v>1041</v>
      </c>
    </row>
    <row r="359" spans="2:6" ht="13.2">
      <c r="B359" s="175">
        <v>443</v>
      </c>
      <c r="D359" s="177" t="s">
        <v>1042</v>
      </c>
      <c r="E359" s="177" t="s">
        <v>1043</v>
      </c>
      <c r="F359" s="177" t="s">
        <v>1043</v>
      </c>
    </row>
    <row r="360" spans="2:6">
      <c r="B360" s="175">
        <v>444</v>
      </c>
      <c r="D360" s="177" t="s">
        <v>1044</v>
      </c>
      <c r="E360" s="177" t="s">
        <v>1044</v>
      </c>
      <c r="F360" s="177" t="s">
        <v>1044</v>
      </c>
    </row>
    <row r="361" spans="2:6" ht="26.4">
      <c r="B361" s="175">
        <v>445</v>
      </c>
      <c r="C361" s="176" t="s">
        <v>409</v>
      </c>
      <c r="D361" s="177" t="s">
        <v>28</v>
      </c>
      <c r="E361" s="177" t="s">
        <v>1045</v>
      </c>
      <c r="F361" s="177" t="s">
        <v>1045</v>
      </c>
    </row>
    <row r="362" spans="2:6" ht="13.2">
      <c r="B362" s="175">
        <v>446</v>
      </c>
      <c r="D362" s="177" t="s">
        <v>1046</v>
      </c>
      <c r="E362" s="177" t="s">
        <v>1047</v>
      </c>
      <c r="F362" s="177" t="s">
        <v>1047</v>
      </c>
    </row>
    <row r="363" spans="2:6" ht="13.2">
      <c r="B363" s="175">
        <v>447</v>
      </c>
      <c r="C363" s="176" t="s">
        <v>466</v>
      </c>
      <c r="D363" s="177" t="s">
        <v>1048</v>
      </c>
      <c r="E363" s="177" t="s">
        <v>1049</v>
      </c>
      <c r="F363" s="177" t="s">
        <v>1049</v>
      </c>
    </row>
    <row r="364" spans="2:6" ht="13.2">
      <c r="B364" s="175">
        <v>448</v>
      </c>
      <c r="D364" s="177" t="s">
        <v>1050</v>
      </c>
      <c r="E364" s="177" t="s">
        <v>1051</v>
      </c>
      <c r="F364" s="177" t="s">
        <v>1051</v>
      </c>
    </row>
    <row r="365" spans="2:6" ht="39.6">
      <c r="B365" s="175">
        <v>449</v>
      </c>
      <c r="D365" s="177" t="s">
        <v>1052</v>
      </c>
      <c r="E365" s="177" t="s">
        <v>1053</v>
      </c>
      <c r="F365" s="177" t="s">
        <v>1053</v>
      </c>
    </row>
    <row r="366" spans="2:6" ht="13.2">
      <c r="B366" s="175">
        <v>450</v>
      </c>
      <c r="D366" s="177" t="s">
        <v>1054</v>
      </c>
      <c r="E366" s="177" t="s">
        <v>1055</v>
      </c>
      <c r="F366" s="177" t="s">
        <v>1055</v>
      </c>
    </row>
    <row r="367" spans="2:6" ht="13.2">
      <c r="B367" s="175">
        <v>451</v>
      </c>
      <c r="D367" s="177" t="s">
        <v>1056</v>
      </c>
      <c r="E367" s="177" t="s">
        <v>1057</v>
      </c>
      <c r="F367" s="177" t="s">
        <v>1057</v>
      </c>
    </row>
    <row r="368" spans="2:6" ht="26.4">
      <c r="B368" s="175">
        <v>452</v>
      </c>
      <c r="D368" s="177" t="s">
        <v>1058</v>
      </c>
      <c r="E368" s="177" t="s">
        <v>1059</v>
      </c>
      <c r="F368" s="177" t="s">
        <v>1059</v>
      </c>
    </row>
    <row r="369" spans="2:6" ht="13.2">
      <c r="B369" s="175">
        <v>453</v>
      </c>
      <c r="D369" s="178" t="s">
        <v>1060</v>
      </c>
      <c r="E369" s="177" t="s">
        <v>587</v>
      </c>
      <c r="F369" s="177" t="s">
        <v>587</v>
      </c>
    </row>
    <row r="370" spans="2:6" ht="13.2">
      <c r="B370" s="175">
        <v>454</v>
      </c>
      <c r="D370" s="177" t="s">
        <v>1061</v>
      </c>
      <c r="E370" s="177" t="s">
        <v>1062</v>
      </c>
      <c r="F370" s="177" t="s">
        <v>1062</v>
      </c>
    </row>
    <row r="371" spans="2:6" ht="13.2">
      <c r="B371" s="175">
        <v>455</v>
      </c>
      <c r="D371" s="177" t="s">
        <v>1063</v>
      </c>
      <c r="E371" s="177" t="s">
        <v>1064</v>
      </c>
      <c r="F371" s="177" t="s">
        <v>1064</v>
      </c>
    </row>
    <row r="372" spans="2:6" ht="13.2">
      <c r="B372" s="175">
        <v>456</v>
      </c>
      <c r="D372" s="177" t="s">
        <v>1065</v>
      </c>
      <c r="E372" s="177" t="s">
        <v>1066</v>
      </c>
      <c r="F372" s="177" t="s">
        <v>1066</v>
      </c>
    </row>
    <row r="373" spans="2:6" ht="13.2">
      <c r="B373" s="175">
        <v>457</v>
      </c>
      <c r="D373" s="177" t="s">
        <v>1067</v>
      </c>
      <c r="E373" s="177" t="s">
        <v>1068</v>
      </c>
      <c r="F373" s="177" t="s">
        <v>1068</v>
      </c>
    </row>
    <row r="374" spans="2:6" ht="13.2">
      <c r="B374" s="175">
        <v>458</v>
      </c>
      <c r="D374" s="177" t="s">
        <v>1069</v>
      </c>
      <c r="E374" s="177" t="s">
        <v>1070</v>
      </c>
      <c r="F374" s="177" t="s">
        <v>1070</v>
      </c>
    </row>
    <row r="375" spans="2:6" ht="13.2">
      <c r="B375" s="175">
        <v>459</v>
      </c>
      <c r="C375" s="176" t="s">
        <v>409</v>
      </c>
      <c r="D375" s="177" t="s">
        <v>29</v>
      </c>
      <c r="E375" s="177" t="s">
        <v>1071</v>
      </c>
      <c r="F375" s="177" t="s">
        <v>1071</v>
      </c>
    </row>
    <row r="376" spans="2:6" ht="13.2">
      <c r="B376" s="175">
        <v>460</v>
      </c>
      <c r="D376" s="177" t="s">
        <v>1072</v>
      </c>
      <c r="E376" s="177" t="s">
        <v>1071</v>
      </c>
      <c r="F376" s="177" t="s">
        <v>1071</v>
      </c>
    </row>
    <row r="377" spans="2:6" ht="13.2">
      <c r="B377" s="175">
        <v>461</v>
      </c>
      <c r="D377" s="177" t="s">
        <v>1073</v>
      </c>
      <c r="E377" s="177" t="s">
        <v>1074</v>
      </c>
      <c r="F377" s="177" t="s">
        <v>1074</v>
      </c>
    </row>
    <row r="378" spans="2:6" ht="13.2">
      <c r="B378" s="175">
        <v>462</v>
      </c>
      <c r="D378" s="177" t="s">
        <v>1075</v>
      </c>
      <c r="E378" s="177" t="s">
        <v>1076</v>
      </c>
      <c r="F378" s="177" t="s">
        <v>1076</v>
      </c>
    </row>
    <row r="379" spans="2:6" ht="13.2">
      <c r="B379" s="175">
        <v>463</v>
      </c>
      <c r="D379" s="177" t="s">
        <v>1077</v>
      </c>
      <c r="E379" s="177" t="s">
        <v>1078</v>
      </c>
      <c r="F379" s="177" t="s">
        <v>1078</v>
      </c>
    </row>
    <row r="380" spans="2:6">
      <c r="B380" s="175">
        <v>464</v>
      </c>
      <c r="D380" s="177" t="s">
        <v>1079</v>
      </c>
      <c r="F380" s="177"/>
    </row>
    <row r="381" spans="2:6" ht="13.2">
      <c r="B381" s="175">
        <v>465</v>
      </c>
      <c r="D381" s="177" t="s">
        <v>1080</v>
      </c>
      <c r="E381" s="177" t="s">
        <v>1081</v>
      </c>
      <c r="F381" s="177" t="s">
        <v>1081</v>
      </c>
    </row>
    <row r="382" spans="2:6" ht="24">
      <c r="B382" s="175">
        <v>466</v>
      </c>
      <c r="D382" s="177" t="s">
        <v>1082</v>
      </c>
      <c r="E382" s="177" t="s">
        <v>1083</v>
      </c>
      <c r="F382" s="177" t="s">
        <v>1083</v>
      </c>
    </row>
    <row r="383" spans="2:6" ht="24">
      <c r="B383" s="175">
        <v>467</v>
      </c>
      <c r="D383" s="177" t="s">
        <v>1084</v>
      </c>
      <c r="E383" s="177" t="s">
        <v>1085</v>
      </c>
      <c r="F383" s="177" t="s">
        <v>1085</v>
      </c>
    </row>
    <row r="384" spans="2:6" ht="13.2">
      <c r="B384" s="175">
        <v>468</v>
      </c>
      <c r="D384" s="177" t="s">
        <v>1086</v>
      </c>
      <c r="E384" s="177" t="s">
        <v>1087</v>
      </c>
      <c r="F384" s="177" t="s">
        <v>1087</v>
      </c>
    </row>
    <row r="385" spans="2:6" ht="13.2">
      <c r="B385" s="175">
        <v>469</v>
      </c>
      <c r="D385" s="177" t="s">
        <v>1088</v>
      </c>
      <c r="E385" s="177" t="s">
        <v>1089</v>
      </c>
      <c r="F385" s="177" t="s">
        <v>1089</v>
      </c>
    </row>
    <row r="386" spans="2:6" ht="13.2">
      <c r="B386" s="175">
        <v>470</v>
      </c>
      <c r="C386" s="176" t="s">
        <v>409</v>
      </c>
      <c r="D386" s="177" t="s">
        <v>12</v>
      </c>
      <c r="E386" s="177" t="s">
        <v>1090</v>
      </c>
      <c r="F386" s="177" t="s">
        <v>1090</v>
      </c>
    </row>
    <row r="387" spans="2:6" ht="13.2">
      <c r="B387" s="175">
        <v>471</v>
      </c>
      <c r="C387" s="176" t="s">
        <v>409</v>
      </c>
      <c r="D387" s="177" t="s">
        <v>23</v>
      </c>
      <c r="E387" s="177" t="s">
        <v>1091</v>
      </c>
      <c r="F387" s="177" t="s">
        <v>1091</v>
      </c>
    </row>
    <row r="388" spans="2:6" ht="13.2">
      <c r="B388" s="175">
        <v>472</v>
      </c>
      <c r="D388" s="177" t="s">
        <v>1092</v>
      </c>
      <c r="E388" s="177" t="s">
        <v>1093</v>
      </c>
      <c r="F388" s="177" t="s">
        <v>1093</v>
      </c>
    </row>
    <row r="389" spans="2:6" ht="13.2">
      <c r="B389" s="175">
        <v>473</v>
      </c>
      <c r="C389" s="176" t="s">
        <v>409</v>
      </c>
      <c r="D389" s="177" t="s">
        <v>1094</v>
      </c>
      <c r="E389" s="177" t="s">
        <v>1095</v>
      </c>
      <c r="F389" s="177" t="s">
        <v>1095</v>
      </c>
    </row>
    <row r="390" spans="2:6" ht="24">
      <c r="B390" s="175">
        <v>474</v>
      </c>
      <c r="C390" s="176" t="s">
        <v>409</v>
      </c>
      <c r="D390" s="177" t="s">
        <v>10</v>
      </c>
      <c r="E390" s="177" t="s">
        <v>1096</v>
      </c>
      <c r="F390" s="177" t="s">
        <v>1096</v>
      </c>
    </row>
    <row r="391" spans="2:6" ht="13.2">
      <c r="B391" s="175">
        <v>475</v>
      </c>
      <c r="C391" s="176" t="s">
        <v>409</v>
      </c>
      <c r="D391" s="177" t="s">
        <v>8</v>
      </c>
      <c r="E391" s="177" t="s">
        <v>1097</v>
      </c>
      <c r="F391" s="177" t="s">
        <v>1097</v>
      </c>
    </row>
    <row r="392" spans="2:6" ht="13.2">
      <c r="B392" s="175">
        <v>476</v>
      </c>
      <c r="D392" s="177" t="s">
        <v>1098</v>
      </c>
      <c r="E392" s="177" t="s">
        <v>1099</v>
      </c>
      <c r="F392" s="177" t="s">
        <v>1099</v>
      </c>
    </row>
    <row r="393" spans="2:6" ht="13.2">
      <c r="B393" s="175">
        <v>477</v>
      </c>
      <c r="D393" s="177" t="s">
        <v>1100</v>
      </c>
      <c r="E393" s="177" t="s">
        <v>1101</v>
      </c>
      <c r="F393" s="177" t="s">
        <v>1101</v>
      </c>
    </row>
    <row r="394" spans="2:6" ht="39.6">
      <c r="B394" s="175">
        <v>478</v>
      </c>
      <c r="C394" s="176" t="s">
        <v>409</v>
      </c>
      <c r="D394" s="177" t="s">
        <v>32</v>
      </c>
      <c r="E394" s="177" t="s">
        <v>1102</v>
      </c>
      <c r="F394" s="177" t="s">
        <v>1102</v>
      </c>
    </row>
    <row r="395" spans="2:6" ht="13.2">
      <c r="B395" s="175">
        <v>479</v>
      </c>
      <c r="D395" s="177" t="s">
        <v>1103</v>
      </c>
      <c r="E395" s="177" t="s">
        <v>1104</v>
      </c>
      <c r="F395" s="177" t="s">
        <v>1104</v>
      </c>
    </row>
    <row r="396" spans="2:6" ht="13.2">
      <c r="B396" s="175">
        <v>480</v>
      </c>
      <c r="D396" s="177" t="s">
        <v>1105</v>
      </c>
      <c r="E396" s="177" t="s">
        <v>1106</v>
      </c>
      <c r="F396" s="177" t="s">
        <v>1106</v>
      </c>
    </row>
    <row r="397" spans="2:6" ht="13.2">
      <c r="B397" s="175">
        <v>481</v>
      </c>
      <c r="D397" s="177" t="s">
        <v>327</v>
      </c>
      <c r="E397" s="177" t="s">
        <v>1107</v>
      </c>
      <c r="F397" s="177" t="s">
        <v>1107</v>
      </c>
    </row>
    <row r="398" spans="2:6" ht="13.2">
      <c r="B398" s="175">
        <v>482</v>
      </c>
      <c r="D398" s="177" t="s">
        <v>1108</v>
      </c>
      <c r="E398" s="177" t="s">
        <v>1109</v>
      </c>
      <c r="F398" s="177" t="s">
        <v>1109</v>
      </c>
    </row>
    <row r="399" spans="2:6" ht="13.2">
      <c r="B399" s="175">
        <v>483</v>
      </c>
      <c r="D399" s="177" t="s">
        <v>1110</v>
      </c>
      <c r="E399" s="177" t="s">
        <v>1111</v>
      </c>
      <c r="F399" s="177" t="s">
        <v>1111</v>
      </c>
    </row>
    <row r="400" spans="2:6" ht="13.2">
      <c r="B400" s="175">
        <v>484</v>
      </c>
      <c r="D400" s="177" t="s">
        <v>1112</v>
      </c>
      <c r="E400" s="177" t="s">
        <v>1113</v>
      </c>
      <c r="F400" s="177" t="s">
        <v>1113</v>
      </c>
    </row>
    <row r="401" spans="2:6" ht="26.4">
      <c r="B401" s="175">
        <v>485</v>
      </c>
      <c r="D401" s="177" t="s">
        <v>1114</v>
      </c>
      <c r="E401" s="177" t="s">
        <v>1115</v>
      </c>
      <c r="F401" s="177" t="s">
        <v>1115</v>
      </c>
    </row>
    <row r="402" spans="2:6" ht="13.2">
      <c r="B402" s="175">
        <v>486</v>
      </c>
      <c r="D402" s="177" t="s">
        <v>1116</v>
      </c>
      <c r="E402" s="177" t="s">
        <v>1117</v>
      </c>
      <c r="F402" s="177" t="s">
        <v>1117</v>
      </c>
    </row>
    <row r="403" spans="2:6" ht="13.2">
      <c r="B403" s="175">
        <v>487</v>
      </c>
      <c r="D403" s="177" t="s">
        <v>1118</v>
      </c>
      <c r="E403" s="177" t="s">
        <v>1119</v>
      </c>
      <c r="F403" s="177" t="s">
        <v>1119</v>
      </c>
    </row>
    <row r="404" spans="2:6" ht="13.2">
      <c r="B404" s="175">
        <v>488</v>
      </c>
      <c r="D404" s="177" t="s">
        <v>1120</v>
      </c>
      <c r="E404" s="177" t="s">
        <v>1121</v>
      </c>
      <c r="F404" s="177" t="s">
        <v>1121</v>
      </c>
    </row>
    <row r="405" spans="2:6" ht="13.2">
      <c r="B405" s="175">
        <v>489</v>
      </c>
      <c r="D405" s="177" t="s">
        <v>1122</v>
      </c>
      <c r="E405" s="177" t="s">
        <v>1123</v>
      </c>
      <c r="F405" s="177" t="s">
        <v>1123</v>
      </c>
    </row>
    <row r="406" spans="2:6" ht="13.2">
      <c r="B406" s="175">
        <v>490</v>
      </c>
      <c r="C406" s="176" t="s">
        <v>466</v>
      </c>
      <c r="D406" s="177" t="s">
        <v>1124</v>
      </c>
      <c r="E406" s="177" t="s">
        <v>1125</v>
      </c>
      <c r="F406" s="177" t="s">
        <v>1125</v>
      </c>
    </row>
    <row r="407" spans="2:6" ht="13.2">
      <c r="B407" s="175">
        <v>491</v>
      </c>
      <c r="D407" s="177" t="s">
        <v>1126</v>
      </c>
      <c r="E407" s="177" t="s">
        <v>1127</v>
      </c>
      <c r="F407" s="177" t="s">
        <v>1127</v>
      </c>
    </row>
    <row r="408" spans="2:6" ht="13.2">
      <c r="B408" s="175">
        <v>492</v>
      </c>
      <c r="C408" s="176" t="s">
        <v>922</v>
      </c>
      <c r="D408" s="177" t="s">
        <v>1128</v>
      </c>
      <c r="E408" s="177" t="s">
        <v>1129</v>
      </c>
      <c r="F408" s="177" t="s">
        <v>1129</v>
      </c>
    </row>
    <row r="409" spans="2:6" ht="13.2">
      <c r="B409" s="175">
        <v>493</v>
      </c>
      <c r="C409" s="176" t="s">
        <v>922</v>
      </c>
      <c r="D409" s="177" t="s">
        <v>1130</v>
      </c>
      <c r="E409" s="177" t="s">
        <v>1131</v>
      </c>
      <c r="F409" s="177" t="s">
        <v>1131</v>
      </c>
    </row>
    <row r="410" spans="2:6" ht="13.2">
      <c r="B410" s="175">
        <v>494</v>
      </c>
      <c r="D410" s="177" t="s">
        <v>1132</v>
      </c>
      <c r="E410" s="177" t="s">
        <v>1133</v>
      </c>
      <c r="F410" s="177" t="s">
        <v>1133</v>
      </c>
    </row>
    <row r="411" spans="2:6" ht="13.2">
      <c r="B411" s="175">
        <v>495</v>
      </c>
      <c r="D411" s="177" t="s">
        <v>1134</v>
      </c>
      <c r="E411" s="177" t="s">
        <v>1135</v>
      </c>
      <c r="F411" s="177" t="s">
        <v>1135</v>
      </c>
    </row>
    <row r="412" spans="2:6" ht="13.2">
      <c r="B412" s="175">
        <v>496</v>
      </c>
      <c r="C412" s="176" t="s">
        <v>409</v>
      </c>
      <c r="D412" s="177" t="s">
        <v>1136</v>
      </c>
      <c r="E412" s="177" t="s">
        <v>1137</v>
      </c>
      <c r="F412" s="177" t="s">
        <v>1137</v>
      </c>
    </row>
    <row r="413" spans="2:6" ht="13.2">
      <c r="B413" s="175">
        <v>497</v>
      </c>
      <c r="D413" s="177" t="s">
        <v>1138</v>
      </c>
      <c r="E413" s="177" t="s">
        <v>1139</v>
      </c>
      <c r="F413" s="177" t="s">
        <v>1139</v>
      </c>
    </row>
    <row r="414" spans="2:6" ht="52.8">
      <c r="B414" s="175">
        <v>498</v>
      </c>
      <c r="D414" s="177" t="s">
        <v>1140</v>
      </c>
      <c r="E414" s="177" t="s">
        <v>1141</v>
      </c>
      <c r="F414" s="177" t="s">
        <v>1141</v>
      </c>
    </row>
    <row r="415" spans="2:6" ht="13.2">
      <c r="B415" s="175">
        <v>499</v>
      </c>
      <c r="D415" s="177" t="s">
        <v>1142</v>
      </c>
      <c r="E415" s="177" t="s">
        <v>1143</v>
      </c>
      <c r="F415" s="177" t="s">
        <v>1143</v>
      </c>
    </row>
    <row r="416" spans="2:6" ht="24">
      <c r="B416" s="175">
        <v>500</v>
      </c>
      <c r="D416" s="177" t="s">
        <v>1144</v>
      </c>
      <c r="E416" s="177" t="s">
        <v>1145</v>
      </c>
      <c r="F416" s="177" t="s">
        <v>1145</v>
      </c>
    </row>
    <row r="417" spans="2:6" ht="24">
      <c r="B417" s="175">
        <v>501</v>
      </c>
      <c r="D417" s="177" t="s">
        <v>1146</v>
      </c>
      <c r="E417" s="177" t="s">
        <v>1147</v>
      </c>
      <c r="F417" s="177" t="s">
        <v>1147</v>
      </c>
    </row>
    <row r="418" spans="2:6" ht="24">
      <c r="B418" s="175">
        <v>502</v>
      </c>
      <c r="D418" s="177" t="s">
        <v>1148</v>
      </c>
      <c r="E418" s="177" t="s">
        <v>1149</v>
      </c>
      <c r="F418" s="177" t="s">
        <v>1149</v>
      </c>
    </row>
    <row r="419" spans="2:6" ht="24">
      <c r="B419" s="175">
        <v>503</v>
      </c>
      <c r="D419" s="177" t="s">
        <v>1150</v>
      </c>
      <c r="E419" s="177" t="s">
        <v>1151</v>
      </c>
      <c r="F419" s="177" t="s">
        <v>1151</v>
      </c>
    </row>
    <row r="420" spans="2:6" ht="24">
      <c r="B420" s="175">
        <v>504</v>
      </c>
      <c r="D420" s="177" t="s">
        <v>1152</v>
      </c>
      <c r="E420" s="177" t="s">
        <v>1153</v>
      </c>
      <c r="F420" s="177" t="s">
        <v>1153</v>
      </c>
    </row>
    <row r="421" spans="2:6" ht="24">
      <c r="B421" s="175">
        <v>505</v>
      </c>
      <c r="D421" s="177" t="s">
        <v>1154</v>
      </c>
      <c r="E421" s="177" t="s">
        <v>1155</v>
      </c>
      <c r="F421" s="177" t="s">
        <v>1155</v>
      </c>
    </row>
    <row r="422" spans="2:6" ht="24">
      <c r="B422" s="175">
        <v>506</v>
      </c>
      <c r="D422" s="177" t="s">
        <v>1156</v>
      </c>
      <c r="E422" s="177" t="s">
        <v>1157</v>
      </c>
      <c r="F422" s="177" t="s">
        <v>1157</v>
      </c>
    </row>
    <row r="423" spans="2:6" ht="24">
      <c r="B423" s="175">
        <v>507</v>
      </c>
      <c r="D423" s="177" t="s">
        <v>1158</v>
      </c>
      <c r="E423" s="177" t="s">
        <v>1159</v>
      </c>
      <c r="F423" s="177" t="s">
        <v>1159</v>
      </c>
    </row>
    <row r="424" spans="2:6" ht="24">
      <c r="B424" s="175">
        <v>508</v>
      </c>
      <c r="D424" s="177" t="s">
        <v>1160</v>
      </c>
      <c r="E424" s="177" t="s">
        <v>1161</v>
      </c>
      <c r="F424" s="177" t="s">
        <v>1161</v>
      </c>
    </row>
    <row r="425" spans="2:6" ht="24">
      <c r="B425" s="175">
        <v>509</v>
      </c>
      <c r="D425" s="177" t="s">
        <v>1162</v>
      </c>
      <c r="E425" s="177" t="s">
        <v>1163</v>
      </c>
      <c r="F425" s="177" t="s">
        <v>1163</v>
      </c>
    </row>
    <row r="426" spans="2:6" ht="24">
      <c r="B426" s="175">
        <v>510</v>
      </c>
      <c r="D426" s="177" t="s">
        <v>1164</v>
      </c>
      <c r="E426" s="177" t="s">
        <v>1165</v>
      </c>
      <c r="F426" s="177" t="s">
        <v>1165</v>
      </c>
    </row>
    <row r="427" spans="2:6" ht="24">
      <c r="B427" s="175">
        <v>511</v>
      </c>
      <c r="D427" s="177" t="s">
        <v>1166</v>
      </c>
      <c r="E427" s="177" t="s">
        <v>1167</v>
      </c>
      <c r="F427" s="177" t="s">
        <v>1167</v>
      </c>
    </row>
    <row r="428" spans="2:6" ht="24">
      <c r="B428" s="175">
        <v>512</v>
      </c>
      <c r="D428" s="177" t="s">
        <v>1168</v>
      </c>
      <c r="E428" s="177" t="s">
        <v>1169</v>
      </c>
      <c r="F428" s="177" t="s">
        <v>1169</v>
      </c>
    </row>
    <row r="429" spans="2:6" ht="24">
      <c r="B429" s="175">
        <v>513</v>
      </c>
      <c r="D429" s="177" t="s">
        <v>1170</v>
      </c>
      <c r="E429" s="177" t="s">
        <v>1171</v>
      </c>
      <c r="F429" s="177" t="s">
        <v>1171</v>
      </c>
    </row>
    <row r="430" spans="2:6" ht="24">
      <c r="B430" s="175">
        <v>514</v>
      </c>
      <c r="D430" s="177" t="s">
        <v>1172</v>
      </c>
      <c r="E430" s="177" t="s">
        <v>1173</v>
      </c>
      <c r="F430" s="177" t="s">
        <v>1173</v>
      </c>
    </row>
    <row r="431" spans="2:6" ht="24">
      <c r="B431" s="175">
        <v>515</v>
      </c>
      <c r="D431" s="177" t="s">
        <v>1174</v>
      </c>
      <c r="E431" s="177" t="s">
        <v>1175</v>
      </c>
      <c r="F431" s="177" t="s">
        <v>1175</v>
      </c>
    </row>
    <row r="432" spans="2:6" ht="24">
      <c r="B432" s="175">
        <v>516</v>
      </c>
      <c r="D432" s="177" t="s">
        <v>1176</v>
      </c>
      <c r="E432" s="177" t="s">
        <v>1177</v>
      </c>
      <c r="F432" s="177" t="s">
        <v>1177</v>
      </c>
    </row>
    <row r="433" spans="1:27" ht="24">
      <c r="B433" s="175">
        <v>517</v>
      </c>
      <c r="D433" s="177" t="s">
        <v>1178</v>
      </c>
      <c r="E433" s="177" t="s">
        <v>1179</v>
      </c>
      <c r="F433" s="177" t="s">
        <v>1179</v>
      </c>
    </row>
    <row r="434" spans="1:27" ht="24">
      <c r="B434" s="175">
        <v>518</v>
      </c>
      <c r="D434" s="177" t="s">
        <v>1180</v>
      </c>
      <c r="E434" s="177" t="s">
        <v>1181</v>
      </c>
      <c r="F434" s="177" t="s">
        <v>1181</v>
      </c>
    </row>
    <row r="435" spans="1:27" ht="24">
      <c r="B435" s="175">
        <v>519</v>
      </c>
      <c r="D435" s="177" t="s">
        <v>1182</v>
      </c>
      <c r="E435" s="177" t="s">
        <v>1183</v>
      </c>
      <c r="F435" s="177" t="s">
        <v>1183</v>
      </c>
    </row>
    <row r="436" spans="1:27" ht="24">
      <c r="B436" s="175">
        <v>520</v>
      </c>
      <c r="D436" s="177" t="s">
        <v>1184</v>
      </c>
      <c r="E436" s="177" t="s">
        <v>1185</v>
      </c>
      <c r="F436" s="177" t="s">
        <v>1185</v>
      </c>
    </row>
    <row r="437" spans="1:27" ht="24">
      <c r="B437" s="175">
        <v>521</v>
      </c>
      <c r="D437" s="177" t="s">
        <v>1186</v>
      </c>
      <c r="E437" s="177" t="s">
        <v>1187</v>
      </c>
      <c r="F437" s="177" t="s">
        <v>1187</v>
      </c>
    </row>
    <row r="438" spans="1:27" ht="24">
      <c r="B438" s="175">
        <v>522</v>
      </c>
      <c r="D438" s="177" t="s">
        <v>1188</v>
      </c>
      <c r="E438" s="177" t="s">
        <v>1187</v>
      </c>
      <c r="F438" s="177" t="s">
        <v>1187</v>
      </c>
    </row>
    <row r="439" spans="1:27" ht="26.4">
      <c r="B439" s="175">
        <v>523</v>
      </c>
      <c r="D439" s="177" t="s">
        <v>1189</v>
      </c>
      <c r="E439" s="177" t="s">
        <v>1190</v>
      </c>
      <c r="F439" s="177" t="s">
        <v>1190</v>
      </c>
    </row>
    <row r="440" spans="1:27" ht="26.4">
      <c r="B440" s="175">
        <v>524</v>
      </c>
      <c r="D440" s="177" t="s">
        <v>1191</v>
      </c>
      <c r="E440" s="177" t="s">
        <v>1192</v>
      </c>
      <c r="F440" s="177" t="s">
        <v>1192</v>
      </c>
    </row>
    <row r="441" spans="1:27" ht="26.4">
      <c r="B441" s="175">
        <v>525</v>
      </c>
      <c r="D441" s="177" t="s">
        <v>1193</v>
      </c>
      <c r="E441" s="177" t="s">
        <v>1194</v>
      </c>
      <c r="F441" s="177" t="s">
        <v>1194</v>
      </c>
    </row>
    <row r="442" spans="1:27" ht="24">
      <c r="B442" s="175">
        <v>526</v>
      </c>
      <c r="D442" s="177" t="s">
        <v>1195</v>
      </c>
      <c r="E442" s="177" t="s">
        <v>1196</v>
      </c>
      <c r="F442" s="177" t="s">
        <v>1196</v>
      </c>
    </row>
    <row r="443" spans="1:27" ht="24">
      <c r="B443" s="175">
        <v>527</v>
      </c>
      <c r="D443" s="177" t="s">
        <v>1197</v>
      </c>
      <c r="E443" s="177" t="s">
        <v>1198</v>
      </c>
      <c r="F443" s="177" t="s">
        <v>1198</v>
      </c>
    </row>
    <row r="444" spans="1:27" s="178" customFormat="1" ht="26.4">
      <c r="A444" s="174"/>
      <c r="B444" s="175">
        <v>528</v>
      </c>
      <c r="C444" s="176"/>
      <c r="D444" s="177" t="s">
        <v>1199</v>
      </c>
      <c r="E444" s="177" t="s">
        <v>1200</v>
      </c>
      <c r="F444" s="177" t="s">
        <v>1200</v>
      </c>
      <c r="G444" s="174"/>
      <c r="H444" s="174"/>
      <c r="I444" s="174"/>
      <c r="J444" s="174"/>
      <c r="K444" s="174"/>
      <c r="L444" s="174"/>
      <c r="M444" s="174"/>
      <c r="N444" s="174"/>
      <c r="O444" s="174"/>
      <c r="P444" s="174"/>
      <c r="Q444" s="174"/>
      <c r="R444" s="174"/>
      <c r="S444" s="174"/>
      <c r="T444" s="174"/>
      <c r="U444" s="174"/>
      <c r="V444" s="174"/>
      <c r="W444" s="174"/>
      <c r="X444" s="174"/>
      <c r="Y444" s="174"/>
      <c r="Z444" s="174"/>
      <c r="AA444" s="174"/>
    </row>
    <row r="445" spans="1:27" s="178" customFormat="1" ht="13.2">
      <c r="A445" s="174"/>
      <c r="B445" s="175">
        <v>529</v>
      </c>
      <c r="C445" s="176"/>
      <c r="D445" s="177" t="s">
        <v>1201</v>
      </c>
      <c r="E445" s="177" t="s">
        <v>1202</v>
      </c>
      <c r="F445" s="177" t="s">
        <v>1202</v>
      </c>
      <c r="G445" s="174"/>
      <c r="H445" s="174"/>
      <c r="I445" s="174"/>
      <c r="J445" s="174"/>
      <c r="K445" s="174"/>
      <c r="L445" s="174"/>
      <c r="M445" s="174"/>
      <c r="N445" s="174"/>
      <c r="O445" s="174"/>
      <c r="P445" s="174"/>
      <c r="Q445" s="174"/>
      <c r="R445" s="174"/>
      <c r="S445" s="174"/>
      <c r="T445" s="174"/>
      <c r="U445" s="174"/>
      <c r="V445" s="174"/>
      <c r="W445" s="174"/>
      <c r="X445" s="174"/>
      <c r="Y445" s="174"/>
      <c r="Z445" s="174"/>
      <c r="AA445" s="174"/>
    </row>
    <row r="446" spans="1:27" s="179" customFormat="1" ht="36">
      <c r="A446" s="174"/>
      <c r="B446" s="175">
        <v>530</v>
      </c>
      <c r="C446" s="176"/>
      <c r="D446" s="177" t="s">
        <v>1203</v>
      </c>
      <c r="E446" s="177" t="s">
        <v>1204</v>
      </c>
      <c r="F446" s="177" t="s">
        <v>1204</v>
      </c>
      <c r="G446" s="174"/>
      <c r="H446" s="174"/>
      <c r="I446" s="174"/>
      <c r="J446" s="174"/>
      <c r="K446" s="174"/>
      <c r="L446" s="174"/>
      <c r="M446" s="174"/>
      <c r="N446" s="174"/>
      <c r="O446" s="174"/>
      <c r="P446" s="174"/>
      <c r="Q446" s="174"/>
      <c r="R446" s="174"/>
      <c r="S446" s="174"/>
      <c r="T446" s="174"/>
      <c r="U446" s="174"/>
      <c r="V446" s="174"/>
      <c r="W446" s="174"/>
      <c r="X446" s="174"/>
      <c r="Y446" s="174"/>
      <c r="Z446" s="174"/>
      <c r="AA446" s="174"/>
    </row>
    <row r="447" spans="1:27" s="179" customFormat="1" ht="13.2">
      <c r="A447" s="174"/>
      <c r="B447" s="175">
        <v>531</v>
      </c>
      <c r="C447" s="176"/>
      <c r="D447" s="177" t="s">
        <v>1205</v>
      </c>
      <c r="E447" s="177" t="s">
        <v>1206</v>
      </c>
      <c r="F447" s="177" t="s">
        <v>1206</v>
      </c>
      <c r="G447" s="174"/>
      <c r="H447" s="174"/>
      <c r="I447" s="174"/>
      <c r="J447" s="174"/>
      <c r="K447" s="174"/>
      <c r="L447" s="174"/>
      <c r="M447" s="174"/>
      <c r="N447" s="174"/>
      <c r="O447" s="174"/>
      <c r="P447" s="174"/>
      <c r="Q447" s="174"/>
      <c r="R447" s="174"/>
      <c r="S447" s="174"/>
      <c r="T447" s="174"/>
      <c r="U447" s="174"/>
      <c r="V447" s="174"/>
      <c r="W447" s="174"/>
      <c r="X447" s="174"/>
      <c r="Y447" s="174"/>
      <c r="Z447" s="174"/>
      <c r="AA447" s="174"/>
    </row>
    <row r="448" spans="1:27" s="179" customFormat="1" ht="52.8">
      <c r="A448" s="174"/>
      <c r="B448" s="175">
        <v>532</v>
      </c>
      <c r="C448" s="176"/>
      <c r="D448" s="177" t="s">
        <v>1207</v>
      </c>
      <c r="E448" s="177" t="s">
        <v>1208</v>
      </c>
      <c r="F448" s="177" t="s">
        <v>1208</v>
      </c>
      <c r="G448" s="174"/>
      <c r="H448" s="174"/>
      <c r="I448" s="174"/>
      <c r="J448" s="174"/>
      <c r="K448" s="174"/>
      <c r="L448" s="174"/>
      <c r="M448" s="174"/>
      <c r="N448" s="174"/>
      <c r="O448" s="174"/>
      <c r="P448" s="174"/>
      <c r="Q448" s="174"/>
      <c r="R448" s="174"/>
      <c r="S448" s="174"/>
      <c r="T448" s="174"/>
      <c r="U448" s="174"/>
      <c r="V448" s="174"/>
      <c r="W448" s="174"/>
      <c r="X448" s="174"/>
      <c r="Y448" s="174"/>
      <c r="Z448" s="174"/>
      <c r="AA448" s="174"/>
    </row>
    <row r="449" spans="1:27" s="179" customFormat="1" ht="26.4">
      <c r="A449" s="174"/>
      <c r="B449" s="175">
        <v>533</v>
      </c>
      <c r="C449" s="176"/>
      <c r="D449" s="177" t="s">
        <v>1209</v>
      </c>
      <c r="E449" s="177" t="s">
        <v>1210</v>
      </c>
      <c r="F449" s="177" t="s">
        <v>1210</v>
      </c>
      <c r="G449" s="174"/>
      <c r="H449" s="174"/>
      <c r="I449" s="174"/>
      <c r="J449" s="174"/>
      <c r="K449" s="174"/>
      <c r="L449" s="174"/>
      <c r="M449" s="174"/>
      <c r="N449" s="174"/>
      <c r="O449" s="174"/>
      <c r="P449" s="174"/>
      <c r="Q449" s="174"/>
      <c r="R449" s="174"/>
      <c r="S449" s="174"/>
      <c r="T449" s="174"/>
      <c r="U449" s="174"/>
      <c r="V449" s="174"/>
      <c r="W449" s="174"/>
      <c r="X449" s="174"/>
      <c r="Y449" s="174"/>
      <c r="Z449" s="174"/>
      <c r="AA449" s="174"/>
    </row>
    <row r="450" spans="1:27" s="179" customFormat="1" ht="24">
      <c r="A450" s="174"/>
      <c r="B450" s="175">
        <v>534</v>
      </c>
      <c r="C450" s="176"/>
      <c r="D450" s="177" t="s">
        <v>1211</v>
      </c>
      <c r="E450" s="177" t="s">
        <v>1212</v>
      </c>
      <c r="F450" s="177" t="s">
        <v>1212</v>
      </c>
      <c r="G450" s="174"/>
      <c r="H450" s="174"/>
      <c r="I450" s="174"/>
      <c r="J450" s="174"/>
      <c r="K450" s="174"/>
      <c r="L450" s="174"/>
      <c r="M450" s="174"/>
      <c r="N450" s="174"/>
      <c r="O450" s="174"/>
      <c r="P450" s="174"/>
      <c r="Q450" s="174"/>
      <c r="R450" s="174"/>
      <c r="S450" s="174"/>
      <c r="T450" s="174"/>
      <c r="U450" s="174"/>
      <c r="V450" s="174"/>
      <c r="W450" s="174"/>
      <c r="X450" s="174"/>
      <c r="Y450" s="174"/>
      <c r="Z450" s="174"/>
      <c r="AA450" s="174"/>
    </row>
    <row r="451" spans="1:27" s="179" customFormat="1" ht="26.4">
      <c r="A451" s="174"/>
      <c r="B451" s="175">
        <v>535</v>
      </c>
      <c r="C451" s="176"/>
      <c r="D451" s="177" t="s">
        <v>1213</v>
      </c>
      <c r="E451" s="177" t="s">
        <v>1214</v>
      </c>
      <c r="F451" s="177" t="s">
        <v>1214</v>
      </c>
      <c r="G451" s="174"/>
      <c r="H451" s="174"/>
      <c r="I451" s="174"/>
      <c r="J451" s="174"/>
      <c r="K451" s="174"/>
      <c r="L451" s="174"/>
      <c r="M451" s="174"/>
      <c r="N451" s="174"/>
      <c r="O451" s="174"/>
      <c r="P451" s="174"/>
      <c r="Q451" s="174"/>
      <c r="R451" s="174"/>
      <c r="S451" s="174"/>
      <c r="T451" s="174"/>
      <c r="U451" s="174"/>
      <c r="V451" s="174"/>
      <c r="W451" s="174"/>
      <c r="X451" s="174"/>
      <c r="Y451" s="174"/>
      <c r="Z451" s="174"/>
      <c r="AA451" s="174"/>
    </row>
    <row r="452" spans="1:27" s="179" customFormat="1" ht="26.4">
      <c r="A452" s="174"/>
      <c r="B452" s="175">
        <v>536</v>
      </c>
      <c r="C452" s="176"/>
      <c r="D452" s="177" t="s">
        <v>1215</v>
      </c>
      <c r="E452" s="177" t="s">
        <v>1216</v>
      </c>
      <c r="F452" s="177" t="s">
        <v>1216</v>
      </c>
      <c r="G452" s="174"/>
      <c r="H452" s="174"/>
      <c r="I452" s="174"/>
      <c r="J452" s="174"/>
      <c r="K452" s="174"/>
      <c r="L452" s="174"/>
      <c r="M452" s="174"/>
      <c r="N452" s="174"/>
      <c r="O452" s="174"/>
      <c r="P452" s="174"/>
      <c r="Q452" s="174"/>
      <c r="R452" s="174"/>
      <c r="S452" s="174"/>
      <c r="T452" s="174"/>
      <c r="U452" s="174"/>
      <c r="V452" s="174"/>
      <c r="W452" s="174"/>
      <c r="X452" s="174"/>
      <c r="Y452" s="174"/>
      <c r="Z452" s="174"/>
      <c r="AA452" s="174"/>
    </row>
    <row r="453" spans="1:27" s="179" customFormat="1" ht="13.2">
      <c r="A453" s="174"/>
      <c r="B453" s="175">
        <v>537</v>
      </c>
      <c r="C453" s="176"/>
      <c r="D453" s="177" t="s">
        <v>1217</v>
      </c>
      <c r="E453" s="177" t="s">
        <v>1218</v>
      </c>
      <c r="F453" s="177" t="s">
        <v>1218</v>
      </c>
      <c r="G453" s="174"/>
      <c r="H453" s="174"/>
      <c r="I453" s="174"/>
      <c r="J453" s="174"/>
      <c r="K453" s="174"/>
      <c r="L453" s="174"/>
      <c r="M453" s="174"/>
      <c r="N453" s="174"/>
      <c r="O453" s="174"/>
      <c r="P453" s="174"/>
      <c r="Q453" s="174"/>
      <c r="R453" s="174"/>
      <c r="S453" s="174"/>
      <c r="T453" s="174"/>
      <c r="U453" s="174"/>
      <c r="V453" s="174"/>
      <c r="W453" s="174"/>
      <c r="X453" s="174"/>
      <c r="Y453" s="174"/>
      <c r="Z453" s="174"/>
      <c r="AA453" s="174"/>
    </row>
    <row r="454" spans="1:27" s="179" customFormat="1" ht="13.2">
      <c r="A454" s="174"/>
      <c r="B454" s="175">
        <v>538</v>
      </c>
      <c r="C454" s="176"/>
      <c r="D454" s="177" t="s">
        <v>1219</v>
      </c>
      <c r="E454" s="177" t="s">
        <v>1220</v>
      </c>
      <c r="F454" s="177" t="s">
        <v>1220</v>
      </c>
      <c r="G454" s="174"/>
      <c r="H454" s="174"/>
      <c r="I454" s="174"/>
      <c r="J454" s="174"/>
      <c r="K454" s="174"/>
      <c r="L454" s="174"/>
      <c r="M454" s="174"/>
      <c r="N454" s="174"/>
      <c r="O454" s="174"/>
      <c r="P454" s="174"/>
      <c r="Q454" s="174"/>
      <c r="R454" s="174"/>
      <c r="S454" s="174"/>
      <c r="T454" s="174"/>
      <c r="U454" s="174"/>
      <c r="V454" s="174"/>
      <c r="W454" s="174"/>
      <c r="X454" s="174"/>
      <c r="Y454" s="174"/>
      <c r="Z454" s="174"/>
      <c r="AA454" s="174"/>
    </row>
    <row r="455" spans="1:27" s="179" customFormat="1" ht="24">
      <c r="A455" s="174"/>
      <c r="B455" s="175">
        <v>539</v>
      </c>
      <c r="C455" s="176"/>
      <c r="D455" s="177" t="s">
        <v>1221</v>
      </c>
      <c r="E455" s="177" t="s">
        <v>1222</v>
      </c>
      <c r="F455" s="177" t="s">
        <v>1222</v>
      </c>
      <c r="G455" s="174"/>
      <c r="H455" s="174"/>
      <c r="I455" s="174"/>
      <c r="J455" s="174"/>
      <c r="K455" s="174"/>
      <c r="L455" s="174"/>
      <c r="M455" s="174"/>
      <c r="N455" s="174"/>
      <c r="O455" s="174"/>
      <c r="P455" s="174"/>
      <c r="Q455" s="174"/>
      <c r="R455" s="174"/>
      <c r="S455" s="174"/>
      <c r="T455" s="174"/>
      <c r="U455" s="174"/>
      <c r="V455" s="174"/>
      <c r="W455" s="174"/>
      <c r="X455" s="174"/>
      <c r="Y455" s="174"/>
      <c r="Z455" s="174"/>
      <c r="AA455" s="174"/>
    </row>
    <row r="456" spans="1:27" s="179" customFormat="1" ht="13.2">
      <c r="A456" s="174"/>
      <c r="B456" s="175">
        <v>540</v>
      </c>
      <c r="C456" s="176"/>
      <c r="D456" s="177" t="s">
        <v>1223</v>
      </c>
      <c r="E456" s="177" t="s">
        <v>1224</v>
      </c>
      <c r="F456" s="177" t="s">
        <v>1224</v>
      </c>
      <c r="G456" s="174"/>
      <c r="H456" s="174"/>
      <c r="I456" s="174"/>
      <c r="J456" s="174"/>
      <c r="K456" s="174"/>
      <c r="L456" s="174"/>
      <c r="M456" s="174"/>
      <c r="N456" s="174"/>
      <c r="O456" s="174"/>
      <c r="P456" s="174"/>
      <c r="Q456" s="174"/>
      <c r="R456" s="174"/>
      <c r="S456" s="174"/>
      <c r="T456" s="174"/>
      <c r="U456" s="174"/>
      <c r="V456" s="174"/>
      <c r="W456" s="174"/>
      <c r="X456" s="174"/>
      <c r="Y456" s="174"/>
      <c r="Z456" s="174"/>
      <c r="AA456" s="174"/>
    </row>
    <row r="457" spans="1:27" ht="13.2">
      <c r="B457" s="175">
        <v>541</v>
      </c>
      <c r="D457" s="177" t="s">
        <v>1225</v>
      </c>
      <c r="E457" s="177" t="s">
        <v>1226</v>
      </c>
      <c r="F457" s="177" t="s">
        <v>1226</v>
      </c>
    </row>
    <row r="458" spans="1:27" ht="13.2">
      <c r="B458" s="175">
        <v>542</v>
      </c>
      <c r="D458" s="177" t="s">
        <v>1227</v>
      </c>
      <c r="E458" s="177" t="s">
        <v>1228</v>
      </c>
      <c r="F458" s="177" t="s">
        <v>1228</v>
      </c>
    </row>
    <row r="459" spans="1:27" ht="24">
      <c r="B459" s="175">
        <v>543</v>
      </c>
      <c r="D459" s="177" t="s">
        <v>1229</v>
      </c>
      <c r="E459" s="177" t="s">
        <v>1230</v>
      </c>
      <c r="F459" s="177" t="s">
        <v>1230</v>
      </c>
    </row>
    <row r="460" spans="1:27" ht="48">
      <c r="A460" s="178"/>
      <c r="B460" s="175">
        <v>544</v>
      </c>
      <c r="C460" s="184" t="s">
        <v>457</v>
      </c>
      <c r="D460" s="178" t="s">
        <v>1231</v>
      </c>
      <c r="E460" s="178" t="s">
        <v>1232</v>
      </c>
      <c r="F460" s="178" t="s">
        <v>1232</v>
      </c>
    </row>
    <row r="461" spans="1:27" ht="52.8">
      <c r="B461" s="175">
        <v>545</v>
      </c>
      <c r="D461" s="177" t="s">
        <v>1233</v>
      </c>
      <c r="E461" s="177" t="s">
        <v>1234</v>
      </c>
      <c r="F461" s="177" t="s">
        <v>1234</v>
      </c>
    </row>
    <row r="462" spans="1:27" ht="13.2">
      <c r="B462" s="175">
        <v>546</v>
      </c>
      <c r="D462" s="177" t="s">
        <v>1235</v>
      </c>
      <c r="E462" s="177" t="s">
        <v>1236</v>
      </c>
      <c r="F462" s="177" t="s">
        <v>1236</v>
      </c>
    </row>
    <row r="463" spans="1:27" ht="13.2">
      <c r="B463" s="175">
        <v>547</v>
      </c>
      <c r="D463" s="177" t="s">
        <v>1237</v>
      </c>
      <c r="E463" s="177" t="s">
        <v>1238</v>
      </c>
      <c r="F463" s="177" t="s">
        <v>1238</v>
      </c>
    </row>
    <row r="464" spans="1:27" ht="13.2">
      <c r="B464" s="175">
        <v>548</v>
      </c>
      <c r="D464" s="177" t="s">
        <v>1239</v>
      </c>
      <c r="E464" s="177" t="s">
        <v>1240</v>
      </c>
      <c r="F464" s="177" t="s">
        <v>1240</v>
      </c>
    </row>
    <row r="465" spans="2:6" ht="24">
      <c r="B465" s="175">
        <v>549</v>
      </c>
      <c r="D465" s="177" t="s">
        <v>1241</v>
      </c>
      <c r="E465" s="177" t="s">
        <v>1242</v>
      </c>
      <c r="F465" s="177" t="s">
        <v>1242</v>
      </c>
    </row>
    <row r="466" spans="2:6" ht="13.2">
      <c r="B466" s="175">
        <v>550</v>
      </c>
      <c r="D466" s="177" t="s">
        <v>1243</v>
      </c>
      <c r="E466" s="177" t="s">
        <v>1244</v>
      </c>
      <c r="F466" s="177" t="s">
        <v>1244</v>
      </c>
    </row>
    <row r="467" spans="2:6" ht="13.2">
      <c r="B467" s="175">
        <v>551</v>
      </c>
      <c r="D467" s="177" t="s">
        <v>1245</v>
      </c>
      <c r="E467" s="177" t="s">
        <v>1246</v>
      </c>
      <c r="F467" s="177" t="s">
        <v>1246</v>
      </c>
    </row>
    <row r="468" spans="2:6" ht="13.2">
      <c r="B468" s="175">
        <v>552</v>
      </c>
      <c r="D468" s="177" t="s">
        <v>1247</v>
      </c>
      <c r="E468" s="177" t="s">
        <v>1248</v>
      </c>
      <c r="F468" s="177" t="s">
        <v>1248</v>
      </c>
    </row>
    <row r="469" spans="2:6" ht="24">
      <c r="B469" s="175">
        <v>553</v>
      </c>
      <c r="D469" s="177" t="s">
        <v>1249</v>
      </c>
      <c r="E469" s="177" t="s">
        <v>1250</v>
      </c>
      <c r="F469" s="177" t="s">
        <v>1250</v>
      </c>
    </row>
    <row r="470" spans="2:6" ht="13.2">
      <c r="B470" s="175">
        <v>554</v>
      </c>
      <c r="D470" s="177" t="s">
        <v>1251</v>
      </c>
      <c r="E470" s="177" t="s">
        <v>1252</v>
      </c>
      <c r="F470" s="177" t="s">
        <v>1252</v>
      </c>
    </row>
    <row r="471" spans="2:6" ht="26.4">
      <c r="B471" s="175">
        <v>555</v>
      </c>
      <c r="D471" s="177" t="s">
        <v>1253</v>
      </c>
      <c r="E471" s="177" t="s">
        <v>1254</v>
      </c>
      <c r="F471" s="177" t="s">
        <v>1254</v>
      </c>
    </row>
    <row r="472" spans="2:6" ht="13.2">
      <c r="B472" s="175">
        <v>556</v>
      </c>
      <c r="D472" s="177" t="s">
        <v>1255</v>
      </c>
      <c r="E472" s="177" t="s">
        <v>1256</v>
      </c>
      <c r="F472" s="177" t="s">
        <v>1256</v>
      </c>
    </row>
    <row r="473" spans="2:6" ht="24">
      <c r="B473" s="175">
        <v>557</v>
      </c>
      <c r="D473" s="177" t="s">
        <v>1257</v>
      </c>
      <c r="E473" s="177" t="s">
        <v>1258</v>
      </c>
      <c r="F473" s="177" t="s">
        <v>1258</v>
      </c>
    </row>
    <row r="474" spans="2:6" ht="24">
      <c r="B474" s="175">
        <v>558</v>
      </c>
      <c r="D474" s="177" t="s">
        <v>1259</v>
      </c>
      <c r="E474" s="177" t="s">
        <v>1260</v>
      </c>
      <c r="F474" s="177" t="s">
        <v>1260</v>
      </c>
    </row>
    <row r="475" spans="2:6" ht="26.4">
      <c r="B475" s="175">
        <v>559</v>
      </c>
      <c r="D475" s="177" t="s">
        <v>1261</v>
      </c>
      <c r="E475" s="177" t="s">
        <v>1262</v>
      </c>
      <c r="F475" s="177" t="s">
        <v>1262</v>
      </c>
    </row>
    <row r="476" spans="2:6" ht="13.2">
      <c r="B476" s="175">
        <v>560</v>
      </c>
      <c r="D476" s="177" t="s">
        <v>1263</v>
      </c>
      <c r="E476" s="177" t="s">
        <v>1264</v>
      </c>
      <c r="F476" s="177" t="s">
        <v>1264</v>
      </c>
    </row>
    <row r="477" spans="2:6" ht="13.2">
      <c r="B477" s="175">
        <v>561</v>
      </c>
      <c r="C477" s="176" t="s">
        <v>922</v>
      </c>
      <c r="D477" s="177" t="s">
        <v>1265</v>
      </c>
      <c r="E477" s="177" t="s">
        <v>1266</v>
      </c>
      <c r="F477" s="177" t="s">
        <v>1266</v>
      </c>
    </row>
    <row r="478" spans="2:6" ht="26.4">
      <c r="B478" s="175">
        <v>562</v>
      </c>
      <c r="C478" s="176" t="s">
        <v>922</v>
      </c>
      <c r="D478" s="177" t="s">
        <v>1267</v>
      </c>
      <c r="E478" s="177" t="s">
        <v>1268</v>
      </c>
      <c r="F478" s="177" t="s">
        <v>1268</v>
      </c>
    </row>
    <row r="479" spans="2:6" ht="13.2">
      <c r="B479" s="175">
        <v>563</v>
      </c>
      <c r="D479" s="177" t="s">
        <v>1269</v>
      </c>
      <c r="E479" s="177" t="s">
        <v>1270</v>
      </c>
      <c r="F479" s="177" t="s">
        <v>1270</v>
      </c>
    </row>
    <row r="480" spans="2:6" ht="13.2">
      <c r="B480" s="175">
        <v>564</v>
      </c>
      <c r="D480" s="177" t="s">
        <v>1271</v>
      </c>
      <c r="E480" s="177" t="s">
        <v>1272</v>
      </c>
      <c r="F480" s="177" t="s">
        <v>1272</v>
      </c>
    </row>
    <row r="481" spans="2:6" ht="39.6">
      <c r="B481" s="175">
        <v>565</v>
      </c>
      <c r="D481" s="177" t="s">
        <v>1273</v>
      </c>
      <c r="E481" s="177" t="s">
        <v>1274</v>
      </c>
      <c r="F481" s="177" t="s">
        <v>1274</v>
      </c>
    </row>
    <row r="482" spans="2:6" ht="13.2">
      <c r="B482" s="175">
        <v>566</v>
      </c>
      <c r="D482" s="177" t="s">
        <v>1275</v>
      </c>
      <c r="E482" s="177" t="s">
        <v>1276</v>
      </c>
      <c r="F482" s="177" t="s">
        <v>1276</v>
      </c>
    </row>
    <row r="483" spans="2:6" ht="13.2">
      <c r="B483" s="175">
        <v>567</v>
      </c>
      <c r="D483" s="177" t="s">
        <v>1277</v>
      </c>
      <c r="E483" s="177" t="s">
        <v>1278</v>
      </c>
      <c r="F483" s="177" t="s">
        <v>1278</v>
      </c>
    </row>
    <row r="484" spans="2:6" ht="13.2">
      <c r="B484" s="175">
        <v>568</v>
      </c>
      <c r="D484" s="177" t="s">
        <v>1279</v>
      </c>
      <c r="E484" s="177" t="s">
        <v>1280</v>
      </c>
      <c r="F484" s="177" t="s">
        <v>1280</v>
      </c>
    </row>
    <row r="485" spans="2:6" ht="13.2">
      <c r="B485" s="175">
        <v>569</v>
      </c>
      <c r="D485" s="177" t="s">
        <v>1281</v>
      </c>
      <c r="E485" s="177" t="s">
        <v>1282</v>
      </c>
      <c r="F485" s="177" t="s">
        <v>1282</v>
      </c>
    </row>
    <row r="486" spans="2:6" ht="13.2">
      <c r="B486" s="175">
        <v>570</v>
      </c>
      <c r="D486" s="177" t="s">
        <v>1283</v>
      </c>
      <c r="E486" s="177" t="s">
        <v>1284</v>
      </c>
      <c r="F486" s="177" t="s">
        <v>1284</v>
      </c>
    </row>
    <row r="487" spans="2:6" ht="39.6">
      <c r="B487" s="175">
        <v>571</v>
      </c>
      <c r="D487" s="177" t="s">
        <v>1285</v>
      </c>
      <c r="E487" s="177" t="s">
        <v>1286</v>
      </c>
      <c r="F487" s="177" t="s">
        <v>1286</v>
      </c>
    </row>
    <row r="488" spans="2:6" ht="24">
      <c r="B488" s="175">
        <v>572</v>
      </c>
      <c r="D488" s="177" t="s">
        <v>1287</v>
      </c>
      <c r="E488" s="177" t="s">
        <v>1288</v>
      </c>
      <c r="F488" s="177" t="s">
        <v>1288</v>
      </c>
    </row>
    <row r="489" spans="2:6" ht="13.2">
      <c r="B489" s="175">
        <v>573</v>
      </c>
      <c r="D489" s="177" t="s">
        <v>1289</v>
      </c>
      <c r="E489" s="177" t="s">
        <v>1290</v>
      </c>
      <c r="F489" s="177" t="s">
        <v>1290</v>
      </c>
    </row>
    <row r="490" spans="2:6" ht="13.2">
      <c r="B490" s="175">
        <v>574</v>
      </c>
      <c r="D490" s="177" t="s">
        <v>1291</v>
      </c>
      <c r="E490" s="177" t="s">
        <v>1292</v>
      </c>
      <c r="F490" s="177" t="s">
        <v>1292</v>
      </c>
    </row>
    <row r="491" spans="2:6" ht="26.4">
      <c r="B491" s="175">
        <v>575</v>
      </c>
      <c r="D491" s="177" t="s">
        <v>1293</v>
      </c>
      <c r="E491" s="177" t="s">
        <v>1294</v>
      </c>
      <c r="F491" s="177" t="s">
        <v>1294</v>
      </c>
    </row>
    <row r="492" spans="2:6" ht="13.2">
      <c r="B492" s="175">
        <v>576</v>
      </c>
      <c r="D492" s="177" t="s">
        <v>1295</v>
      </c>
      <c r="E492" s="177" t="s">
        <v>1296</v>
      </c>
      <c r="F492" s="177" t="s">
        <v>1296</v>
      </c>
    </row>
    <row r="493" spans="2:6" ht="13.2">
      <c r="B493" s="175">
        <v>577</v>
      </c>
      <c r="D493" s="177" t="s">
        <v>1297</v>
      </c>
      <c r="E493" s="177" t="s">
        <v>1298</v>
      </c>
      <c r="F493" s="177" t="s">
        <v>1298</v>
      </c>
    </row>
    <row r="494" spans="2:6" ht="13.2">
      <c r="B494" s="175">
        <v>578</v>
      </c>
      <c r="D494" s="177" t="s">
        <v>1299</v>
      </c>
      <c r="E494" s="177" t="s">
        <v>1300</v>
      </c>
      <c r="F494" s="177" t="s">
        <v>1300</v>
      </c>
    </row>
    <row r="495" spans="2:6" ht="13.2">
      <c r="B495" s="175">
        <v>579</v>
      </c>
      <c r="D495" s="177" t="s">
        <v>1301</v>
      </c>
      <c r="E495" s="177" t="s">
        <v>1302</v>
      </c>
      <c r="F495" s="177" t="s">
        <v>1302</v>
      </c>
    </row>
    <row r="496" spans="2:6" ht="13.2">
      <c r="B496" s="175">
        <v>580</v>
      </c>
      <c r="D496" s="177" t="s">
        <v>1303</v>
      </c>
      <c r="E496" s="177" t="s">
        <v>1304</v>
      </c>
      <c r="F496" s="177" t="s">
        <v>1304</v>
      </c>
    </row>
    <row r="497" spans="1:6" ht="13.2">
      <c r="B497" s="175">
        <v>581</v>
      </c>
      <c r="D497" s="177" t="s">
        <v>1305</v>
      </c>
      <c r="E497" s="177" t="s">
        <v>1306</v>
      </c>
      <c r="F497" s="177" t="s">
        <v>1306</v>
      </c>
    </row>
    <row r="498" spans="1:6" ht="52.8">
      <c r="B498" s="175">
        <v>582</v>
      </c>
      <c r="D498" s="177" t="s">
        <v>1307</v>
      </c>
      <c r="E498" s="177" t="s">
        <v>1308</v>
      </c>
      <c r="F498" s="177" t="s">
        <v>1308</v>
      </c>
    </row>
    <row r="499" spans="1:6" ht="13.2">
      <c r="B499" s="175">
        <v>583</v>
      </c>
      <c r="D499" s="177" t="s">
        <v>1309</v>
      </c>
      <c r="E499" s="177" t="s">
        <v>1310</v>
      </c>
      <c r="F499" s="177" t="s">
        <v>1310</v>
      </c>
    </row>
    <row r="500" spans="1:6" ht="13.2">
      <c r="B500" s="175">
        <v>584</v>
      </c>
      <c r="D500" s="177" t="s">
        <v>1311</v>
      </c>
      <c r="E500" s="177" t="s">
        <v>1312</v>
      </c>
      <c r="F500" s="177" t="s">
        <v>1312</v>
      </c>
    </row>
    <row r="501" spans="1:6" ht="13.2">
      <c r="B501" s="175">
        <v>585</v>
      </c>
      <c r="C501" s="176" t="s">
        <v>466</v>
      </c>
      <c r="D501" s="174" t="s">
        <v>1313</v>
      </c>
      <c r="E501" s="182" t="s">
        <v>1314</v>
      </c>
      <c r="F501" s="182" t="s">
        <v>1314</v>
      </c>
    </row>
    <row r="502" spans="1:6" ht="13.2">
      <c r="B502" s="175">
        <v>586</v>
      </c>
      <c r="C502" s="176" t="s">
        <v>466</v>
      </c>
      <c r="D502" s="177" t="s">
        <v>1315</v>
      </c>
      <c r="E502" s="182" t="s">
        <v>1316</v>
      </c>
      <c r="F502" s="182" t="s">
        <v>1316</v>
      </c>
    </row>
    <row r="503" spans="1:6" ht="13.2">
      <c r="B503" s="175">
        <v>587</v>
      </c>
      <c r="D503" s="177" t="s">
        <v>1317</v>
      </c>
      <c r="E503" s="177" t="s">
        <v>1318</v>
      </c>
      <c r="F503" s="177" t="s">
        <v>1318</v>
      </c>
    </row>
    <row r="504" spans="1:6" ht="39.6">
      <c r="B504" s="175">
        <v>588</v>
      </c>
      <c r="D504" s="177" t="s">
        <v>1319</v>
      </c>
      <c r="E504" s="177" t="s">
        <v>1320</v>
      </c>
      <c r="F504" s="177" t="s">
        <v>1320</v>
      </c>
    </row>
    <row r="505" spans="1:6" ht="13.2">
      <c r="B505" s="175">
        <v>589</v>
      </c>
      <c r="D505" s="177" t="s">
        <v>1321</v>
      </c>
      <c r="E505" s="177" t="s">
        <v>1322</v>
      </c>
      <c r="F505" s="177" t="s">
        <v>1322</v>
      </c>
    </row>
    <row r="506" spans="1:6" ht="13.2">
      <c r="A506" s="179"/>
      <c r="B506" s="175">
        <v>590</v>
      </c>
      <c r="C506" s="180" t="s">
        <v>405</v>
      </c>
      <c r="D506" s="178" t="s">
        <v>1323</v>
      </c>
      <c r="E506" s="178" t="s">
        <v>1324</v>
      </c>
      <c r="F506" s="178" t="s">
        <v>1324</v>
      </c>
    </row>
    <row r="507" spans="1:6" ht="13.2">
      <c r="A507" s="179"/>
      <c r="B507" s="175">
        <v>591</v>
      </c>
      <c r="C507" s="180" t="s">
        <v>405</v>
      </c>
      <c r="D507" s="178" t="s">
        <v>1325</v>
      </c>
      <c r="E507" s="178" t="s">
        <v>1326</v>
      </c>
      <c r="F507" s="178" t="s">
        <v>1326</v>
      </c>
    </row>
    <row r="508" spans="1:6" ht="13.2">
      <c r="B508" s="175">
        <v>592</v>
      </c>
      <c r="D508" s="177" t="s">
        <v>1327</v>
      </c>
      <c r="E508" s="178" t="s">
        <v>1328</v>
      </c>
      <c r="F508" s="178" t="s">
        <v>1328</v>
      </c>
    </row>
    <row r="509" spans="1:6" ht="13.2">
      <c r="B509" s="175">
        <v>593</v>
      </c>
      <c r="D509" s="177" t="s">
        <v>1329</v>
      </c>
      <c r="E509" s="177" t="s">
        <v>1330</v>
      </c>
      <c r="F509" s="177" t="s">
        <v>1330</v>
      </c>
    </row>
    <row r="510" spans="1:6" ht="13.2">
      <c r="B510" s="175">
        <v>594</v>
      </c>
      <c r="D510" s="177" t="s">
        <v>1331</v>
      </c>
      <c r="E510" s="177" t="s">
        <v>1332</v>
      </c>
      <c r="F510" s="177" t="s">
        <v>1332</v>
      </c>
    </row>
    <row r="511" spans="1:6" ht="24">
      <c r="B511" s="175">
        <v>595</v>
      </c>
      <c r="D511" s="177" t="s">
        <v>1333</v>
      </c>
      <c r="E511" s="177" t="s">
        <v>1334</v>
      </c>
      <c r="F511" s="177" t="s">
        <v>1334</v>
      </c>
    </row>
    <row r="512" spans="1:6" ht="13.2">
      <c r="B512" s="175">
        <v>596</v>
      </c>
      <c r="D512" s="177" t="s">
        <v>1335</v>
      </c>
      <c r="E512" s="177" t="s">
        <v>1336</v>
      </c>
      <c r="F512" s="177" t="s">
        <v>1336</v>
      </c>
    </row>
    <row r="513" spans="2:6" ht="36">
      <c r="B513" s="175">
        <v>597</v>
      </c>
      <c r="D513" s="177" t="s">
        <v>1337</v>
      </c>
      <c r="E513" s="177" t="s">
        <v>1338</v>
      </c>
      <c r="F513" s="177" t="s">
        <v>1338</v>
      </c>
    </row>
    <row r="514" spans="2:6" ht="13.2">
      <c r="B514" s="175">
        <v>598</v>
      </c>
      <c r="D514" s="177" t="s">
        <v>1339</v>
      </c>
      <c r="E514" s="177" t="s">
        <v>1340</v>
      </c>
      <c r="F514" s="177" t="s">
        <v>1340</v>
      </c>
    </row>
    <row r="515" spans="2:6" ht="13.2">
      <c r="B515" s="175">
        <v>599</v>
      </c>
      <c r="D515" s="177" t="s">
        <v>1341</v>
      </c>
      <c r="E515" s="177" t="s">
        <v>1342</v>
      </c>
      <c r="F515" s="177" t="s">
        <v>1342</v>
      </c>
    </row>
    <row r="516" spans="2:6" ht="13.2">
      <c r="B516" s="175">
        <v>600</v>
      </c>
      <c r="D516" s="177" t="s">
        <v>1343</v>
      </c>
      <c r="E516" s="177" t="s">
        <v>1344</v>
      </c>
      <c r="F516" s="177" t="s">
        <v>1344</v>
      </c>
    </row>
    <row r="517" spans="2:6" ht="13.2">
      <c r="B517" s="175">
        <v>601</v>
      </c>
      <c r="D517" s="177" t="s">
        <v>1345</v>
      </c>
      <c r="E517" s="177" t="s">
        <v>1346</v>
      </c>
      <c r="F517" s="177" t="s">
        <v>1346</v>
      </c>
    </row>
    <row r="518" spans="2:6" ht="13.2">
      <c r="B518" s="175">
        <v>602</v>
      </c>
      <c r="D518" s="177" t="s">
        <v>1347</v>
      </c>
      <c r="E518" s="177" t="s">
        <v>1348</v>
      </c>
      <c r="F518" s="177" t="s">
        <v>1348</v>
      </c>
    </row>
    <row r="519" spans="2:6" ht="13.2">
      <c r="B519" s="175">
        <v>603</v>
      </c>
      <c r="D519" s="177" t="s">
        <v>1349</v>
      </c>
      <c r="E519" s="177" t="s">
        <v>1350</v>
      </c>
      <c r="F519" s="177" t="s">
        <v>1350</v>
      </c>
    </row>
    <row r="520" spans="2:6">
      <c r="B520" s="175">
        <v>604</v>
      </c>
      <c r="D520" s="177" t="s">
        <v>58</v>
      </c>
      <c r="E520" s="177" t="s">
        <v>58</v>
      </c>
      <c r="F520" s="177" t="s">
        <v>58</v>
      </c>
    </row>
    <row r="521" spans="2:6" ht="13.2">
      <c r="B521" s="175">
        <v>605</v>
      </c>
      <c r="D521" s="177" t="s">
        <v>1351</v>
      </c>
      <c r="E521" s="177" t="s">
        <v>1352</v>
      </c>
      <c r="F521" s="177" t="s">
        <v>1352</v>
      </c>
    </row>
    <row r="522" spans="2:6" ht="26.4">
      <c r="B522" s="175">
        <v>606</v>
      </c>
      <c r="D522" s="177" t="s">
        <v>1353</v>
      </c>
      <c r="E522" s="177" t="s">
        <v>1354</v>
      </c>
      <c r="F522" s="177" t="s">
        <v>1354</v>
      </c>
    </row>
    <row r="523" spans="2:6">
      <c r="B523" s="175">
        <v>607</v>
      </c>
      <c r="D523" s="177" t="s">
        <v>1355</v>
      </c>
      <c r="E523" s="177" t="s">
        <v>1355</v>
      </c>
      <c r="F523" s="177" t="s">
        <v>1355</v>
      </c>
    </row>
    <row r="524" spans="2:6" ht="13.2">
      <c r="B524" s="175">
        <v>608</v>
      </c>
      <c r="D524" s="177" t="s">
        <v>1356</v>
      </c>
      <c r="E524" s="177" t="s">
        <v>1357</v>
      </c>
      <c r="F524" s="177" t="s">
        <v>1357</v>
      </c>
    </row>
    <row r="525" spans="2:6" ht="13.2">
      <c r="B525" s="175">
        <v>609</v>
      </c>
      <c r="D525" s="177" t="s">
        <v>1358</v>
      </c>
      <c r="E525" s="177" t="s">
        <v>1359</v>
      </c>
      <c r="F525" s="177" t="s">
        <v>1359</v>
      </c>
    </row>
    <row r="526" spans="2:6">
      <c r="B526" s="175">
        <v>610</v>
      </c>
      <c r="D526" s="177" t="s">
        <v>1360</v>
      </c>
      <c r="F526" s="177"/>
    </row>
    <row r="527" spans="2:6" ht="13.2">
      <c r="B527" s="175">
        <v>611</v>
      </c>
      <c r="D527" s="177" t="s">
        <v>1361</v>
      </c>
      <c r="E527" s="177" t="s">
        <v>1362</v>
      </c>
      <c r="F527" s="177" t="s">
        <v>1362</v>
      </c>
    </row>
    <row r="528" spans="2:6" ht="13.2">
      <c r="B528" s="175">
        <v>612</v>
      </c>
      <c r="C528" s="176" t="s">
        <v>922</v>
      </c>
      <c r="D528" s="177" t="s">
        <v>1363</v>
      </c>
      <c r="E528" s="177" t="s">
        <v>1364</v>
      </c>
      <c r="F528" s="177" t="s">
        <v>1364</v>
      </c>
    </row>
    <row r="529" spans="2:6" ht="13.2">
      <c r="B529" s="175">
        <v>613</v>
      </c>
      <c r="D529" s="177" t="s">
        <v>1365</v>
      </c>
      <c r="E529" s="177" t="s">
        <v>1366</v>
      </c>
      <c r="F529" s="177" t="s">
        <v>1366</v>
      </c>
    </row>
    <row r="530" spans="2:6" ht="13.2">
      <c r="B530" s="175">
        <v>614</v>
      </c>
      <c r="D530" s="177" t="s">
        <v>1367</v>
      </c>
      <c r="E530" s="177" t="s">
        <v>1368</v>
      </c>
      <c r="F530" s="177" t="s">
        <v>1368</v>
      </c>
    </row>
    <row r="531" spans="2:6" ht="13.2">
      <c r="B531" s="175">
        <v>615</v>
      </c>
      <c r="D531" s="177" t="s">
        <v>1369</v>
      </c>
      <c r="E531" s="177" t="s">
        <v>1366</v>
      </c>
      <c r="F531" s="177" t="s">
        <v>1366</v>
      </c>
    </row>
    <row r="532" spans="2:6" ht="13.2">
      <c r="B532" s="175">
        <v>616</v>
      </c>
      <c r="D532" s="177" t="s">
        <v>71</v>
      </c>
      <c r="E532" s="177" t="s">
        <v>1370</v>
      </c>
      <c r="F532" s="177" t="s">
        <v>1370</v>
      </c>
    </row>
    <row r="533" spans="2:6" ht="13.2">
      <c r="B533" s="175">
        <v>617</v>
      </c>
      <c r="D533" s="177" t="s">
        <v>1371</v>
      </c>
      <c r="E533" s="177" t="s">
        <v>1372</v>
      </c>
      <c r="F533" s="177" t="s">
        <v>1372</v>
      </c>
    </row>
    <row r="534" spans="2:6" ht="13.2">
      <c r="B534" s="175">
        <v>618</v>
      </c>
      <c r="D534" s="177" t="s">
        <v>1373</v>
      </c>
      <c r="E534" s="177" t="s">
        <v>1374</v>
      </c>
      <c r="F534" s="177" t="s">
        <v>1374</v>
      </c>
    </row>
    <row r="535" spans="2:6" ht="13.2">
      <c r="B535" s="175">
        <v>619</v>
      </c>
      <c r="D535" s="177" t="s">
        <v>1375</v>
      </c>
      <c r="E535" s="177" t="s">
        <v>1376</v>
      </c>
      <c r="F535" s="177" t="s">
        <v>1376</v>
      </c>
    </row>
    <row r="536" spans="2:6" ht="13.2">
      <c r="B536" s="175">
        <v>620</v>
      </c>
      <c r="D536" s="177" t="s">
        <v>1377</v>
      </c>
      <c r="E536" s="177" t="s">
        <v>1378</v>
      </c>
      <c r="F536" s="177" t="s">
        <v>1378</v>
      </c>
    </row>
    <row r="537" spans="2:6" ht="36">
      <c r="B537" s="175">
        <v>621</v>
      </c>
      <c r="C537" s="176" t="s">
        <v>409</v>
      </c>
      <c r="D537" s="177" t="s">
        <v>6</v>
      </c>
      <c r="E537" s="177" t="s">
        <v>1379</v>
      </c>
      <c r="F537" s="177" t="s">
        <v>1379</v>
      </c>
    </row>
    <row r="538" spans="2:6" ht="36">
      <c r="B538" s="175">
        <v>622</v>
      </c>
      <c r="C538" s="176" t="s">
        <v>409</v>
      </c>
      <c r="D538" s="177" t="s">
        <v>22</v>
      </c>
      <c r="E538" s="177" t="s">
        <v>1380</v>
      </c>
      <c r="F538" s="177" t="s">
        <v>1380</v>
      </c>
    </row>
    <row r="539" spans="2:6" ht="13.2">
      <c r="B539" s="175">
        <v>623</v>
      </c>
      <c r="D539" s="177" t="s">
        <v>1381</v>
      </c>
      <c r="E539" s="177" t="s">
        <v>1382</v>
      </c>
      <c r="F539" s="177" t="s">
        <v>1382</v>
      </c>
    </row>
    <row r="540" spans="2:6" ht="13.2">
      <c r="B540" s="175">
        <v>624</v>
      </c>
      <c r="D540" s="177" t="s">
        <v>42</v>
      </c>
      <c r="E540" s="177" t="s">
        <v>1383</v>
      </c>
      <c r="F540" s="177" t="s">
        <v>1383</v>
      </c>
    </row>
    <row r="541" spans="2:6">
      <c r="B541" s="175">
        <v>625</v>
      </c>
      <c r="D541" s="177" t="s">
        <v>1384</v>
      </c>
      <c r="E541" s="177" t="s">
        <v>1384</v>
      </c>
      <c r="F541" s="177" t="s">
        <v>1384</v>
      </c>
    </row>
    <row r="542" spans="2:6">
      <c r="B542" s="175">
        <v>626</v>
      </c>
      <c r="D542" s="177" t="s">
        <v>1385</v>
      </c>
      <c r="F542" s="177"/>
    </row>
    <row r="543" spans="2:6">
      <c r="B543" s="175">
        <v>627</v>
      </c>
      <c r="D543" s="177" t="s">
        <v>1386</v>
      </c>
      <c r="F543" s="177"/>
    </row>
    <row r="544" spans="2:6">
      <c r="B544" s="175">
        <v>628</v>
      </c>
      <c r="D544" s="177" t="s">
        <v>1387</v>
      </c>
      <c r="E544" s="177" t="s">
        <v>13</v>
      </c>
      <c r="F544" s="177" t="s">
        <v>13</v>
      </c>
    </row>
    <row r="545" spans="1:6" ht="13.2">
      <c r="B545" s="175">
        <v>629</v>
      </c>
      <c r="D545" s="177" t="s">
        <v>1388</v>
      </c>
      <c r="E545" s="177" t="s">
        <v>1389</v>
      </c>
      <c r="F545" s="177" t="s">
        <v>1389</v>
      </c>
    </row>
    <row r="546" spans="1:6" ht="13.2">
      <c r="B546" s="175">
        <v>630</v>
      </c>
      <c r="D546" s="177" t="s">
        <v>1390</v>
      </c>
      <c r="E546" s="177" t="s">
        <v>1391</v>
      </c>
      <c r="F546" s="177" t="s">
        <v>1391</v>
      </c>
    </row>
    <row r="547" spans="1:6" ht="13.2">
      <c r="B547" s="175">
        <v>631</v>
      </c>
      <c r="D547" s="177" t="s">
        <v>1392</v>
      </c>
      <c r="E547" s="177" t="s">
        <v>1393</v>
      </c>
      <c r="F547" s="177" t="s">
        <v>1393</v>
      </c>
    </row>
    <row r="548" spans="1:6" ht="13.2">
      <c r="B548" s="175">
        <v>632</v>
      </c>
      <c r="D548" s="177" t="s">
        <v>1394</v>
      </c>
      <c r="E548" s="177" t="s">
        <v>1395</v>
      </c>
      <c r="F548" s="177" t="s">
        <v>1395</v>
      </c>
    </row>
    <row r="549" spans="1:6" ht="13.2">
      <c r="B549" s="175">
        <v>633</v>
      </c>
      <c r="D549" s="177" t="s">
        <v>1396</v>
      </c>
      <c r="E549" s="177" t="s">
        <v>1393</v>
      </c>
      <c r="F549" s="177" t="s">
        <v>1393</v>
      </c>
    </row>
    <row r="550" spans="1:6" ht="39.6">
      <c r="A550" s="178"/>
      <c r="B550" s="175">
        <v>634</v>
      </c>
      <c r="C550" s="178"/>
      <c r="D550" s="178" t="s">
        <v>1397</v>
      </c>
      <c r="E550" s="178" t="s">
        <v>1398</v>
      </c>
      <c r="F550" s="178" t="s">
        <v>1398</v>
      </c>
    </row>
    <row r="551" spans="1:6" ht="13.2">
      <c r="B551" s="175">
        <v>635</v>
      </c>
      <c r="C551" s="176" t="s">
        <v>409</v>
      </c>
      <c r="D551" s="177" t="s">
        <v>1399</v>
      </c>
      <c r="E551" s="177" t="s">
        <v>1400</v>
      </c>
      <c r="F551" s="177" t="s">
        <v>1400</v>
      </c>
    </row>
    <row r="552" spans="1:6" ht="13.2">
      <c r="B552" s="175">
        <v>636</v>
      </c>
      <c r="C552" s="176" t="s">
        <v>409</v>
      </c>
      <c r="D552" s="177" t="s">
        <v>1401</v>
      </c>
      <c r="E552" s="177" t="s">
        <v>1402</v>
      </c>
      <c r="F552" s="177" t="s">
        <v>1402</v>
      </c>
    </row>
    <row r="553" spans="1:6">
      <c r="B553" s="175">
        <v>637</v>
      </c>
      <c r="D553" s="177" t="s">
        <v>1403</v>
      </c>
      <c r="E553" s="177" t="s">
        <v>1403</v>
      </c>
      <c r="F553" s="177" t="s">
        <v>1403</v>
      </c>
    </row>
    <row r="554" spans="1:6" ht="13.2">
      <c r="B554" s="175">
        <v>638</v>
      </c>
      <c r="D554" s="177" t="s">
        <v>1404</v>
      </c>
      <c r="E554" s="177" t="s">
        <v>1405</v>
      </c>
      <c r="F554" s="177" t="s">
        <v>1405</v>
      </c>
    </row>
    <row r="555" spans="1:6" ht="13.2">
      <c r="B555" s="175">
        <v>639</v>
      </c>
      <c r="D555" s="177" t="s">
        <v>1406</v>
      </c>
      <c r="E555" s="177" t="s">
        <v>1407</v>
      </c>
      <c r="F555" s="177" t="s">
        <v>1407</v>
      </c>
    </row>
    <row r="556" spans="1:6" ht="13.2">
      <c r="B556" s="175">
        <v>640</v>
      </c>
      <c r="D556" s="177" t="s">
        <v>1408</v>
      </c>
      <c r="E556" s="177" t="s">
        <v>1409</v>
      </c>
      <c r="F556" s="177" t="s">
        <v>1409</v>
      </c>
    </row>
    <row r="557" spans="1:6" ht="26.4">
      <c r="B557" s="175">
        <v>641</v>
      </c>
      <c r="C557" s="176" t="s">
        <v>409</v>
      </c>
      <c r="D557" s="177" t="s">
        <v>24</v>
      </c>
      <c r="E557" s="177" t="s">
        <v>1410</v>
      </c>
      <c r="F557" s="177" t="s">
        <v>1410</v>
      </c>
    </row>
    <row r="558" spans="1:6" ht="13.2">
      <c r="B558" s="175">
        <v>642</v>
      </c>
      <c r="D558" s="177" t="s">
        <v>1411</v>
      </c>
      <c r="E558" s="177" t="s">
        <v>1412</v>
      </c>
      <c r="F558" s="177" t="s">
        <v>1412</v>
      </c>
    </row>
    <row r="559" spans="1:6" ht="52.8">
      <c r="B559" s="175">
        <v>643</v>
      </c>
      <c r="C559" s="176" t="s">
        <v>409</v>
      </c>
      <c r="D559" s="177" t="s">
        <v>41</v>
      </c>
      <c r="E559" s="177" t="s">
        <v>1413</v>
      </c>
      <c r="F559" s="177" t="s">
        <v>1413</v>
      </c>
    </row>
    <row r="560" spans="1:6" ht="13.2">
      <c r="B560" s="175">
        <v>644</v>
      </c>
      <c r="D560" s="177" t="s">
        <v>1414</v>
      </c>
      <c r="E560" s="177" t="s">
        <v>1415</v>
      </c>
      <c r="F560" s="177" t="s">
        <v>1415</v>
      </c>
    </row>
    <row r="561" spans="2:27" ht="13.2">
      <c r="B561" s="175">
        <v>645</v>
      </c>
      <c r="D561" s="177" t="s">
        <v>1416</v>
      </c>
      <c r="E561" s="177" t="s">
        <v>1417</v>
      </c>
      <c r="F561" s="177" t="s">
        <v>1417</v>
      </c>
    </row>
    <row r="562" spans="2:27" ht="13.2">
      <c r="B562" s="175">
        <v>646</v>
      </c>
      <c r="D562" s="177" t="s">
        <v>1418</v>
      </c>
      <c r="E562" s="177" t="s">
        <v>1419</v>
      </c>
      <c r="F562" s="177" t="s">
        <v>1419</v>
      </c>
    </row>
    <row r="563" spans="2:27" ht="26.4">
      <c r="B563" s="175">
        <v>647</v>
      </c>
      <c r="D563" s="177" t="s">
        <v>1420</v>
      </c>
      <c r="E563" s="177" t="s">
        <v>1421</v>
      </c>
      <c r="F563" s="177" t="s">
        <v>1421</v>
      </c>
    </row>
    <row r="564" spans="2:27" ht="13.2">
      <c r="B564" s="175">
        <v>648</v>
      </c>
      <c r="D564" s="177" t="s">
        <v>1422</v>
      </c>
      <c r="E564" s="177" t="s">
        <v>1417</v>
      </c>
      <c r="F564" s="177" t="s">
        <v>1417</v>
      </c>
    </row>
    <row r="565" spans="2:27" ht="13.2">
      <c r="B565" s="175">
        <v>649</v>
      </c>
      <c r="D565" s="177" t="s">
        <v>1423</v>
      </c>
      <c r="E565" s="177" t="s">
        <v>1424</v>
      </c>
      <c r="F565" s="177" t="s">
        <v>1424</v>
      </c>
    </row>
    <row r="566" spans="2:27" ht="13.2">
      <c r="B566" s="175">
        <v>650</v>
      </c>
      <c r="D566" s="177" t="s">
        <v>1425</v>
      </c>
      <c r="E566" s="177" t="s">
        <v>1426</v>
      </c>
      <c r="F566" s="177" t="s">
        <v>1426</v>
      </c>
    </row>
    <row r="567" spans="2:27" ht="13.2">
      <c r="B567" s="175">
        <v>651</v>
      </c>
      <c r="D567" s="177" t="s">
        <v>1427</v>
      </c>
      <c r="E567" s="177" t="s">
        <v>1428</v>
      </c>
      <c r="F567" s="177" t="s">
        <v>1428</v>
      </c>
    </row>
    <row r="568" spans="2:27" ht="13.2">
      <c r="B568" s="175">
        <v>652</v>
      </c>
      <c r="D568" s="177" t="s">
        <v>1429</v>
      </c>
      <c r="E568" s="177" t="s">
        <v>1430</v>
      </c>
      <c r="F568" s="177" t="s">
        <v>1430</v>
      </c>
      <c r="G568" s="178"/>
      <c r="H568" s="178"/>
      <c r="I568" s="178"/>
      <c r="J568" s="178"/>
      <c r="K568" s="178"/>
      <c r="L568" s="178"/>
      <c r="M568" s="178"/>
      <c r="N568" s="178"/>
      <c r="O568" s="178"/>
      <c r="P568" s="178"/>
      <c r="Q568" s="178"/>
      <c r="R568" s="178"/>
      <c r="S568" s="178"/>
      <c r="T568" s="178"/>
      <c r="U568" s="178"/>
      <c r="V568" s="178"/>
      <c r="W568" s="178"/>
      <c r="X568" s="178"/>
      <c r="Y568" s="178"/>
      <c r="Z568" s="178"/>
      <c r="AA568" s="178"/>
    </row>
    <row r="569" spans="2:27" ht="26.4">
      <c r="B569" s="175">
        <v>653</v>
      </c>
      <c r="D569" s="177" t="s">
        <v>1431</v>
      </c>
      <c r="E569" s="177" t="s">
        <v>1432</v>
      </c>
      <c r="F569" s="177" t="s">
        <v>1432</v>
      </c>
      <c r="G569" s="178"/>
      <c r="H569" s="178"/>
      <c r="I569" s="178"/>
      <c r="J569" s="178"/>
      <c r="K569" s="178"/>
      <c r="L569" s="178"/>
      <c r="M569" s="178"/>
      <c r="N569" s="178"/>
      <c r="O569" s="178"/>
      <c r="P569" s="178"/>
      <c r="Q569" s="178"/>
      <c r="R569" s="178"/>
      <c r="S569" s="178"/>
      <c r="T569" s="178"/>
      <c r="U569" s="178"/>
      <c r="V569" s="178"/>
      <c r="W569" s="178"/>
      <c r="X569" s="178"/>
      <c r="Y569" s="178"/>
      <c r="Z569" s="178"/>
      <c r="AA569" s="178"/>
    </row>
    <row r="570" spans="2:27" ht="13.2">
      <c r="B570" s="175">
        <v>654</v>
      </c>
      <c r="D570" s="177" t="s">
        <v>1433</v>
      </c>
      <c r="E570" s="177" t="s">
        <v>1415</v>
      </c>
      <c r="F570" s="177" t="s">
        <v>1415</v>
      </c>
      <c r="G570" s="179"/>
      <c r="H570" s="179"/>
      <c r="I570" s="179"/>
      <c r="J570" s="179"/>
      <c r="K570" s="179"/>
      <c r="L570" s="179"/>
      <c r="M570" s="179"/>
      <c r="N570" s="179"/>
      <c r="O570" s="179"/>
      <c r="P570" s="179"/>
      <c r="Q570" s="179"/>
      <c r="R570" s="179"/>
      <c r="S570" s="179"/>
      <c r="T570" s="179"/>
      <c r="U570" s="179"/>
      <c r="V570" s="179"/>
      <c r="W570" s="179"/>
      <c r="X570" s="179"/>
      <c r="Y570" s="179"/>
      <c r="Z570" s="179"/>
      <c r="AA570" s="179"/>
    </row>
    <row r="571" spans="2:27" ht="24">
      <c r="B571" s="175">
        <v>655</v>
      </c>
      <c r="C571" s="176" t="s">
        <v>409</v>
      </c>
      <c r="D571" s="177" t="s">
        <v>26</v>
      </c>
      <c r="E571" s="177" t="s">
        <v>1434</v>
      </c>
      <c r="F571" s="177" t="s">
        <v>1434</v>
      </c>
    </row>
    <row r="572" spans="2:27" ht="26.4">
      <c r="B572" s="175">
        <v>656</v>
      </c>
      <c r="D572" s="177" t="s">
        <v>1435</v>
      </c>
      <c r="E572" s="177" t="s">
        <v>1436</v>
      </c>
      <c r="F572" s="177" t="s">
        <v>1436</v>
      </c>
      <c r="G572" s="179"/>
      <c r="H572" s="179"/>
      <c r="I572" s="179"/>
      <c r="J572" s="179"/>
      <c r="K572" s="179"/>
      <c r="L572" s="179"/>
      <c r="M572" s="179"/>
      <c r="N572" s="179"/>
      <c r="O572" s="179"/>
      <c r="P572" s="179"/>
      <c r="Q572" s="179"/>
      <c r="R572" s="179"/>
      <c r="S572" s="179"/>
      <c r="T572" s="179"/>
      <c r="U572" s="179"/>
      <c r="V572" s="179"/>
      <c r="W572" s="179"/>
      <c r="X572" s="179"/>
      <c r="Y572" s="179"/>
      <c r="Z572" s="179"/>
      <c r="AA572" s="179"/>
    </row>
    <row r="573" spans="2:27" ht="39.6">
      <c r="B573" s="175">
        <v>657</v>
      </c>
      <c r="D573" s="177" t="s">
        <v>1437</v>
      </c>
      <c r="E573" s="177" t="s">
        <v>1438</v>
      </c>
      <c r="F573" s="177" t="s">
        <v>1438</v>
      </c>
      <c r="G573" s="179"/>
      <c r="H573" s="179"/>
      <c r="I573" s="179"/>
      <c r="J573" s="179"/>
      <c r="K573" s="179"/>
      <c r="L573" s="179"/>
      <c r="M573" s="179"/>
      <c r="N573" s="179"/>
      <c r="O573" s="179"/>
      <c r="P573" s="179"/>
      <c r="Q573" s="179"/>
      <c r="R573" s="179"/>
      <c r="S573" s="179"/>
      <c r="T573" s="179"/>
      <c r="U573" s="179"/>
      <c r="V573" s="179"/>
      <c r="W573" s="179"/>
      <c r="X573" s="179"/>
      <c r="Y573" s="179"/>
      <c r="Z573" s="179"/>
      <c r="AA573" s="179"/>
    </row>
    <row r="574" spans="2:27" ht="13.2">
      <c r="B574" s="175">
        <v>658</v>
      </c>
      <c r="D574" s="177" t="s">
        <v>1439</v>
      </c>
      <c r="E574" s="177" t="s">
        <v>1440</v>
      </c>
      <c r="F574" s="177" t="s">
        <v>1440</v>
      </c>
      <c r="G574" s="179"/>
      <c r="H574" s="179"/>
      <c r="I574" s="179"/>
      <c r="J574" s="179"/>
      <c r="K574" s="179"/>
      <c r="L574" s="179"/>
      <c r="M574" s="179"/>
      <c r="N574" s="179"/>
      <c r="O574" s="179"/>
      <c r="P574" s="179"/>
      <c r="Q574" s="179"/>
      <c r="R574" s="179"/>
      <c r="S574" s="179"/>
      <c r="T574" s="179"/>
      <c r="U574" s="179"/>
      <c r="V574" s="179"/>
      <c r="W574" s="179"/>
      <c r="X574" s="179"/>
      <c r="Y574" s="179"/>
      <c r="Z574" s="179"/>
      <c r="AA574" s="179"/>
    </row>
    <row r="575" spans="2:27" ht="39.6">
      <c r="B575" s="175">
        <v>659</v>
      </c>
      <c r="D575" s="177" t="s">
        <v>1441</v>
      </c>
      <c r="E575" s="177" t="s">
        <v>1442</v>
      </c>
      <c r="F575" s="177" t="s">
        <v>1442</v>
      </c>
      <c r="G575" s="179"/>
      <c r="H575" s="179"/>
      <c r="I575" s="179"/>
      <c r="J575" s="179"/>
      <c r="K575" s="179"/>
      <c r="L575" s="179"/>
      <c r="M575" s="179"/>
      <c r="N575" s="179"/>
      <c r="O575" s="179"/>
      <c r="P575" s="179"/>
      <c r="Q575" s="179"/>
      <c r="R575" s="179"/>
      <c r="S575" s="179"/>
      <c r="T575" s="179"/>
      <c r="U575" s="179"/>
      <c r="V575" s="179"/>
      <c r="W575" s="179"/>
      <c r="X575" s="179"/>
      <c r="Y575" s="179"/>
      <c r="Z575" s="179"/>
      <c r="AA575" s="179"/>
    </row>
    <row r="576" spans="2:27" ht="13.2">
      <c r="B576" s="175">
        <v>660</v>
      </c>
      <c r="D576" s="177" t="s">
        <v>1443</v>
      </c>
      <c r="E576" s="177" t="s">
        <v>1444</v>
      </c>
      <c r="F576" s="177" t="s">
        <v>1444</v>
      </c>
      <c r="G576" s="179"/>
      <c r="H576" s="179"/>
      <c r="I576" s="179"/>
      <c r="J576" s="179"/>
      <c r="K576" s="179"/>
      <c r="L576" s="179"/>
      <c r="M576" s="179"/>
      <c r="N576" s="179"/>
      <c r="O576" s="179"/>
      <c r="P576" s="179"/>
      <c r="Q576" s="179"/>
      <c r="R576" s="179"/>
      <c r="S576" s="179"/>
      <c r="T576" s="179"/>
      <c r="U576" s="179"/>
      <c r="V576" s="179"/>
      <c r="W576" s="179"/>
      <c r="X576" s="179"/>
      <c r="Y576" s="179"/>
      <c r="Z576" s="179"/>
      <c r="AA576" s="179"/>
    </row>
    <row r="577" spans="2:27" ht="13.2">
      <c r="B577" s="175">
        <v>661</v>
      </c>
      <c r="D577" s="177" t="s">
        <v>1445</v>
      </c>
      <c r="E577" s="177" t="s">
        <v>1446</v>
      </c>
      <c r="F577" s="177" t="s">
        <v>1446</v>
      </c>
      <c r="G577" s="179"/>
      <c r="H577" s="179"/>
      <c r="I577" s="179"/>
      <c r="J577" s="179"/>
      <c r="K577" s="179"/>
      <c r="L577" s="179"/>
      <c r="M577" s="179"/>
      <c r="N577" s="179"/>
      <c r="O577" s="179"/>
      <c r="P577" s="179"/>
      <c r="Q577" s="179"/>
      <c r="R577" s="179"/>
      <c r="S577" s="179"/>
      <c r="T577" s="179"/>
      <c r="U577" s="179"/>
      <c r="V577" s="179"/>
      <c r="W577" s="179"/>
      <c r="X577" s="179"/>
      <c r="Y577" s="179"/>
      <c r="Z577" s="179"/>
      <c r="AA577" s="179"/>
    </row>
    <row r="578" spans="2:27" ht="13.2">
      <c r="B578" s="175">
        <v>662</v>
      </c>
      <c r="D578" s="177" t="s">
        <v>1447</v>
      </c>
      <c r="E578" s="177" t="s">
        <v>1448</v>
      </c>
      <c r="F578" s="177" t="s">
        <v>1448</v>
      </c>
      <c r="G578" s="179"/>
      <c r="H578" s="179"/>
      <c r="I578" s="179"/>
      <c r="J578" s="179"/>
      <c r="K578" s="179"/>
      <c r="L578" s="179"/>
      <c r="M578" s="179"/>
      <c r="N578" s="179"/>
      <c r="O578" s="179"/>
      <c r="P578" s="179"/>
      <c r="Q578" s="179"/>
      <c r="R578" s="179"/>
      <c r="S578" s="179"/>
      <c r="T578" s="179"/>
      <c r="U578" s="179"/>
      <c r="V578" s="179"/>
      <c r="W578" s="179"/>
      <c r="X578" s="179"/>
      <c r="Y578" s="179"/>
      <c r="Z578" s="179"/>
      <c r="AA578" s="179"/>
    </row>
    <row r="579" spans="2:27" ht="13.2">
      <c r="B579" s="175">
        <v>663</v>
      </c>
      <c r="D579" s="177" t="s">
        <v>1449</v>
      </c>
      <c r="E579" s="177" t="s">
        <v>1450</v>
      </c>
      <c r="F579" s="177" t="s">
        <v>1450</v>
      </c>
      <c r="G579" s="179"/>
      <c r="H579" s="179"/>
      <c r="I579" s="179"/>
      <c r="J579" s="179"/>
      <c r="K579" s="179"/>
      <c r="L579" s="179"/>
      <c r="M579" s="179"/>
      <c r="N579" s="179"/>
      <c r="O579" s="179"/>
      <c r="P579" s="179"/>
      <c r="Q579" s="179"/>
      <c r="R579" s="179"/>
      <c r="S579" s="179"/>
      <c r="T579" s="179"/>
      <c r="U579" s="179"/>
      <c r="V579" s="179"/>
      <c r="W579" s="179"/>
      <c r="X579" s="179"/>
      <c r="Y579" s="179"/>
      <c r="Z579" s="179"/>
      <c r="AA579" s="179"/>
    </row>
    <row r="580" spans="2:27" ht="13.2">
      <c r="B580" s="175">
        <v>664</v>
      </c>
      <c r="D580" s="177" t="s">
        <v>1451</v>
      </c>
      <c r="E580" s="177" t="s">
        <v>1452</v>
      </c>
      <c r="F580" s="177" t="s">
        <v>1452</v>
      </c>
      <c r="G580" s="179"/>
      <c r="H580" s="179"/>
      <c r="I580" s="179"/>
      <c r="J580" s="179"/>
      <c r="K580" s="179"/>
      <c r="L580" s="179"/>
      <c r="M580" s="179"/>
      <c r="N580" s="179"/>
      <c r="O580" s="179"/>
      <c r="P580" s="179"/>
      <c r="Q580" s="179"/>
      <c r="R580" s="179"/>
      <c r="S580" s="179"/>
      <c r="T580" s="179"/>
      <c r="U580" s="179"/>
      <c r="V580" s="179"/>
      <c r="W580" s="179"/>
      <c r="X580" s="179"/>
      <c r="Y580" s="179"/>
      <c r="Z580" s="179"/>
      <c r="AA580" s="179"/>
    </row>
    <row r="581" spans="2:27" ht="13.2">
      <c r="B581" s="175">
        <v>665</v>
      </c>
      <c r="D581" s="177" t="s">
        <v>1453</v>
      </c>
      <c r="E581" s="177" t="s">
        <v>1454</v>
      </c>
      <c r="F581" s="177" t="s">
        <v>1454</v>
      </c>
      <c r="G581" s="179"/>
      <c r="H581" s="179"/>
      <c r="I581" s="179"/>
      <c r="J581" s="179"/>
      <c r="K581" s="179"/>
      <c r="L581" s="179"/>
      <c r="M581" s="179"/>
      <c r="N581" s="179"/>
      <c r="O581" s="179"/>
      <c r="P581" s="179"/>
      <c r="Q581" s="179"/>
      <c r="R581" s="179"/>
      <c r="S581" s="179"/>
      <c r="T581" s="179"/>
      <c r="U581" s="179"/>
      <c r="V581" s="179"/>
      <c r="W581" s="179"/>
      <c r="X581" s="179"/>
      <c r="Y581" s="179"/>
      <c r="Z581" s="179"/>
      <c r="AA581" s="179"/>
    </row>
    <row r="582" spans="2:27" ht="13.2">
      <c r="B582" s="175">
        <v>666</v>
      </c>
      <c r="D582" s="177" t="s">
        <v>1455</v>
      </c>
      <c r="E582" s="177" t="s">
        <v>1456</v>
      </c>
      <c r="F582" s="177" t="s">
        <v>1456</v>
      </c>
    </row>
    <row r="583" spans="2:27" ht="13.2">
      <c r="B583" s="175">
        <v>667</v>
      </c>
      <c r="D583" s="177" t="s">
        <v>1457</v>
      </c>
      <c r="E583" s="177" t="s">
        <v>1458</v>
      </c>
      <c r="F583" s="177" t="s">
        <v>1458</v>
      </c>
    </row>
    <row r="584" spans="2:27" ht="13.2">
      <c r="B584" s="175">
        <v>668</v>
      </c>
      <c r="D584" s="177" t="s">
        <v>1459</v>
      </c>
      <c r="E584" s="177" t="s">
        <v>1460</v>
      </c>
      <c r="F584" s="177" t="s">
        <v>1460</v>
      </c>
    </row>
    <row r="585" spans="2:27" ht="13.2">
      <c r="B585" s="175">
        <v>669</v>
      </c>
      <c r="D585" s="177" t="s">
        <v>1461</v>
      </c>
      <c r="E585" s="177" t="s">
        <v>1462</v>
      </c>
      <c r="F585" s="177" t="s">
        <v>1462</v>
      </c>
    </row>
    <row r="586" spans="2:27" ht="13.2">
      <c r="B586" s="175">
        <v>670</v>
      </c>
      <c r="D586" s="177" t="s">
        <v>1463</v>
      </c>
      <c r="E586" s="177" t="s">
        <v>1464</v>
      </c>
      <c r="F586" s="177" t="s">
        <v>1464</v>
      </c>
    </row>
    <row r="587" spans="2:27" ht="13.2">
      <c r="B587" s="175">
        <v>671</v>
      </c>
      <c r="D587" s="177" t="s">
        <v>1465</v>
      </c>
      <c r="E587" s="177" t="s">
        <v>1466</v>
      </c>
      <c r="F587" s="177" t="s">
        <v>1466</v>
      </c>
    </row>
    <row r="588" spans="2:27" ht="13.2">
      <c r="B588" s="175">
        <v>672</v>
      </c>
      <c r="D588" s="177" t="s">
        <v>1467</v>
      </c>
      <c r="E588" s="177" t="s">
        <v>1468</v>
      </c>
      <c r="F588" s="177" t="s">
        <v>1468</v>
      </c>
    </row>
    <row r="589" spans="2:27" ht="13.2">
      <c r="B589" s="175">
        <v>673</v>
      </c>
      <c r="D589" s="177" t="s">
        <v>1469</v>
      </c>
      <c r="E589" s="177" t="s">
        <v>1470</v>
      </c>
      <c r="F589" s="177" t="s">
        <v>1470</v>
      </c>
    </row>
    <row r="590" spans="2:27" ht="13.2">
      <c r="B590" s="175">
        <v>674</v>
      </c>
      <c r="D590" s="177" t="s">
        <v>1471</v>
      </c>
      <c r="E590" s="177" t="s">
        <v>1472</v>
      </c>
      <c r="F590" s="177" t="s">
        <v>1472</v>
      </c>
    </row>
    <row r="591" spans="2:27" ht="13.2">
      <c r="B591" s="175">
        <v>675</v>
      </c>
      <c r="D591" s="177" t="s">
        <v>1473</v>
      </c>
      <c r="E591" s="177" t="s">
        <v>1474</v>
      </c>
      <c r="F591" s="177" t="s">
        <v>1474</v>
      </c>
    </row>
    <row r="592" spans="2:27" ht="13.2">
      <c r="B592" s="175">
        <v>676</v>
      </c>
      <c r="D592" s="177" t="s">
        <v>1475</v>
      </c>
      <c r="E592" s="177" t="s">
        <v>1476</v>
      </c>
      <c r="F592" s="177" t="s">
        <v>1476</v>
      </c>
    </row>
    <row r="593" spans="2:6" ht="13.2">
      <c r="B593" s="175">
        <v>677</v>
      </c>
      <c r="D593" s="177" t="s">
        <v>1477</v>
      </c>
      <c r="E593" s="177" t="s">
        <v>1478</v>
      </c>
      <c r="F593" s="174" t="s">
        <v>1478</v>
      </c>
    </row>
    <row r="594" spans="2:6" ht="13.2">
      <c r="B594" s="175">
        <v>678</v>
      </c>
      <c r="D594" s="177" t="s">
        <v>1479</v>
      </c>
      <c r="E594" s="177" t="s">
        <v>1480</v>
      </c>
      <c r="F594" s="177" t="s">
        <v>1480</v>
      </c>
    </row>
    <row r="595" spans="2:6" ht="13.2">
      <c r="B595" s="175">
        <v>679</v>
      </c>
      <c r="D595" s="177" t="s">
        <v>1481</v>
      </c>
      <c r="E595" s="177" t="s">
        <v>1482</v>
      </c>
      <c r="F595" s="177" t="s">
        <v>1482</v>
      </c>
    </row>
    <row r="596" spans="2:6" ht="13.2">
      <c r="B596" s="175">
        <v>680</v>
      </c>
      <c r="D596" s="177" t="s">
        <v>43</v>
      </c>
      <c r="E596" s="192" t="s">
        <v>1483</v>
      </c>
      <c r="F596" s="192" t="s">
        <v>1483</v>
      </c>
    </row>
    <row r="597" spans="2:6" ht="13.2">
      <c r="B597" s="175">
        <v>681</v>
      </c>
      <c r="D597" s="177" t="s">
        <v>45</v>
      </c>
      <c r="E597" s="192" t="s">
        <v>1484</v>
      </c>
      <c r="F597" s="192" t="s">
        <v>1484</v>
      </c>
    </row>
    <row r="598" spans="2:6" ht="13.2">
      <c r="B598" s="175">
        <v>682</v>
      </c>
      <c r="D598" s="177" t="s">
        <v>46</v>
      </c>
      <c r="E598" s="196" t="s">
        <v>1485</v>
      </c>
      <c r="F598" s="196" t="s">
        <v>1485</v>
      </c>
    </row>
    <row r="599" spans="2:6" ht="13.2">
      <c r="B599" s="175">
        <v>683</v>
      </c>
      <c r="D599" s="177" t="s">
        <v>47</v>
      </c>
      <c r="E599" s="196" t="s">
        <v>1486</v>
      </c>
      <c r="F599" s="196" t="s">
        <v>1486</v>
      </c>
    </row>
    <row r="600" spans="2:6">
      <c r="B600" s="175">
        <v>684</v>
      </c>
      <c r="D600" s="177" t="s">
        <v>1487</v>
      </c>
      <c r="E600" s="177" t="s">
        <v>1488</v>
      </c>
      <c r="F600" s="177" t="s">
        <v>1488</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0"/>
  <sheetViews>
    <sheetView zoomScale="81" zoomScaleNormal="81" workbookViewId="0">
      <selection activeCell="H31" sqref="H31"/>
    </sheetView>
  </sheetViews>
  <sheetFormatPr defaultColWidth="10.5546875" defaultRowHeight="14.4"/>
  <cols>
    <col min="1" max="1" width="9.44140625" style="103" bestFit="1" customWidth="1"/>
    <col min="2" max="2" width="5.44140625" style="103" bestFit="1" customWidth="1"/>
    <col min="3" max="12" width="11.44140625" style="103" bestFit="1" customWidth="1"/>
    <col min="13" max="13" width="25.6640625" style="103" bestFit="1" customWidth="1"/>
    <col min="14" max="14" width="23.5546875" style="103" bestFit="1" customWidth="1"/>
    <col min="15" max="16" width="10.44140625" style="103" bestFit="1" customWidth="1"/>
    <col min="17" max="17" width="15.44140625" style="103" bestFit="1" customWidth="1"/>
    <col min="18" max="18" width="17.109375" style="103" bestFit="1" customWidth="1"/>
    <col min="19" max="19" width="13.33203125" style="103" bestFit="1" customWidth="1"/>
    <col min="20" max="20" width="19.88671875" style="103" bestFit="1" customWidth="1"/>
    <col min="21" max="21" width="14.44140625" style="103" bestFit="1" customWidth="1"/>
    <col min="22" max="22" width="14.109375" style="103" bestFit="1" customWidth="1"/>
    <col min="23" max="23" width="15.44140625" style="103" bestFit="1" customWidth="1"/>
    <col min="24" max="24" width="19.44140625" style="104" bestFit="1" customWidth="1"/>
    <col min="25" max="25" width="9.44140625" style="104" bestFit="1" customWidth="1"/>
    <col min="26" max="26" width="10.88671875" style="104" bestFit="1" customWidth="1"/>
    <col min="27" max="27" width="10.88671875" style="103" bestFit="1" customWidth="1"/>
    <col min="28" max="28" width="12.44140625" style="103" bestFit="1" customWidth="1"/>
    <col min="29" max="29" width="12.88671875" style="103" bestFit="1" customWidth="1"/>
    <col min="30" max="30" width="15.6640625" style="103" bestFit="1" customWidth="1"/>
    <col min="31" max="16384" width="10.5546875" style="103"/>
  </cols>
  <sheetData>
    <row r="1" spans="1:30">
      <c r="A1" s="106" t="s">
        <v>1489</v>
      </c>
      <c r="B1" s="106" t="s">
        <v>1490</v>
      </c>
      <c r="C1" s="106" t="s">
        <v>1491</v>
      </c>
      <c r="D1" s="106" t="s">
        <v>1492</v>
      </c>
      <c r="E1" s="106" t="s">
        <v>1493</v>
      </c>
      <c r="F1" s="106" t="s">
        <v>1494</v>
      </c>
      <c r="G1" s="106" t="s">
        <v>1495</v>
      </c>
      <c r="H1" s="106" t="s">
        <v>1496</v>
      </c>
      <c r="I1" s="106" t="s">
        <v>1497</v>
      </c>
      <c r="J1" s="106" t="s">
        <v>1498</v>
      </c>
      <c r="K1" s="106" t="s">
        <v>1499</v>
      </c>
      <c r="L1" s="106" t="s">
        <v>1500</v>
      </c>
      <c r="M1" s="106" t="s">
        <v>1501</v>
      </c>
      <c r="N1" s="106" t="s">
        <v>1502</v>
      </c>
      <c r="O1" s="106" t="s">
        <v>1503</v>
      </c>
      <c r="P1" s="106" t="s">
        <v>1504</v>
      </c>
      <c r="Q1" s="106" t="s">
        <v>1505</v>
      </c>
      <c r="R1" s="106" t="s">
        <v>1506</v>
      </c>
      <c r="S1" s="106" t="s">
        <v>1507</v>
      </c>
      <c r="T1" s="106" t="s">
        <v>1508</v>
      </c>
      <c r="U1" s="106" t="s">
        <v>1509</v>
      </c>
      <c r="V1" s="106" t="s">
        <v>1510</v>
      </c>
      <c r="W1" s="106" t="s">
        <v>1511</v>
      </c>
      <c r="X1" s="107" t="s">
        <v>1512</v>
      </c>
      <c r="Y1" s="107" t="s">
        <v>1513</v>
      </c>
      <c r="Z1" s="107" t="s">
        <v>1514</v>
      </c>
      <c r="AA1" s="106" t="s">
        <v>1515</v>
      </c>
      <c r="AB1" s="106" t="s">
        <v>1516</v>
      </c>
      <c r="AC1" s="106" t="s">
        <v>1517</v>
      </c>
      <c r="AD1" s="106" t="s">
        <v>1518</v>
      </c>
    </row>
    <row r="2" spans="1:30">
      <c r="A2" s="105" t="s">
        <v>1519</v>
      </c>
      <c r="B2" s="105" t="s">
        <v>84</v>
      </c>
      <c r="C2" s="105" t="s">
        <v>81</v>
      </c>
      <c r="D2" s="105" t="s">
        <v>82</v>
      </c>
      <c r="E2" s="105" t="s">
        <v>84</v>
      </c>
      <c r="M2" s="105" t="s">
        <v>1520</v>
      </c>
      <c r="N2" s="105" t="s">
        <v>1521</v>
      </c>
      <c r="O2" s="102">
        <v>44709</v>
      </c>
      <c r="P2" s="102">
        <v>44712</v>
      </c>
      <c r="Q2" s="102">
        <v>44709</v>
      </c>
      <c r="R2" s="102">
        <v>44709</v>
      </c>
      <c r="S2" s="103">
        <v>22</v>
      </c>
      <c r="T2" s="103">
        <v>1</v>
      </c>
      <c r="U2" s="103">
        <v>0</v>
      </c>
      <c r="V2" s="103">
        <v>0</v>
      </c>
      <c r="W2" s="103">
        <v>0</v>
      </c>
      <c r="X2" s="104">
        <v>1</v>
      </c>
      <c r="Y2" s="104">
        <v>1</v>
      </c>
      <c r="Z2" s="104">
        <v>1</v>
      </c>
      <c r="AC2" s="103">
        <v>0</v>
      </c>
    </row>
    <row r="3" spans="1:30">
      <c r="A3" s="105" t="s">
        <v>1519</v>
      </c>
      <c r="B3" s="105" t="s">
        <v>84</v>
      </c>
      <c r="C3" s="105" t="s">
        <v>81</v>
      </c>
      <c r="D3" s="105" t="s">
        <v>82</v>
      </c>
      <c r="E3" s="105" t="s">
        <v>84</v>
      </c>
      <c r="M3" s="105" t="s">
        <v>1520</v>
      </c>
      <c r="N3" s="105" t="s">
        <v>1521</v>
      </c>
      <c r="O3" s="102">
        <v>44709</v>
      </c>
      <c r="P3" s="102">
        <v>44712</v>
      </c>
      <c r="Q3" s="102">
        <v>44710</v>
      </c>
      <c r="R3" s="102">
        <v>44716</v>
      </c>
      <c r="S3" s="103">
        <v>23</v>
      </c>
      <c r="T3" s="103">
        <v>2</v>
      </c>
      <c r="U3" s="103">
        <v>2</v>
      </c>
      <c r="V3" s="103">
        <v>2</v>
      </c>
      <c r="W3" s="103">
        <v>0</v>
      </c>
      <c r="X3" s="104">
        <v>1</v>
      </c>
      <c r="Y3" s="104">
        <v>1</v>
      </c>
      <c r="Z3" s="104">
        <v>1</v>
      </c>
      <c r="AC3" s="103">
        <v>0</v>
      </c>
    </row>
    <row r="4" spans="1:30">
      <c r="A4" s="105" t="s">
        <v>1519</v>
      </c>
      <c r="B4" s="105" t="s">
        <v>86</v>
      </c>
      <c r="C4" s="105" t="s">
        <v>81</v>
      </c>
      <c r="D4" s="105" t="s">
        <v>82</v>
      </c>
      <c r="E4" s="105" t="s">
        <v>86</v>
      </c>
      <c r="M4" s="105" t="s">
        <v>1522</v>
      </c>
      <c r="N4" s="105" t="s">
        <v>1523</v>
      </c>
      <c r="O4" s="102">
        <v>44714</v>
      </c>
      <c r="P4" s="102">
        <v>44714</v>
      </c>
      <c r="Q4" s="102">
        <v>44709</v>
      </c>
      <c r="R4" s="102">
        <v>44709</v>
      </c>
      <c r="S4" s="103">
        <v>22</v>
      </c>
      <c r="T4" s="103">
        <v>1</v>
      </c>
      <c r="U4" s="103">
        <v>0</v>
      </c>
      <c r="V4" s="103">
        <v>0</v>
      </c>
      <c r="W4" s="103">
        <v>0</v>
      </c>
      <c r="X4" s="104">
        <v>0</v>
      </c>
      <c r="Y4" s="104">
        <v>1</v>
      </c>
      <c r="Z4" s="104">
        <v>1</v>
      </c>
      <c r="AC4" s="103">
        <v>0</v>
      </c>
    </row>
    <row r="5" spans="1:30">
      <c r="A5" s="105" t="s">
        <v>1519</v>
      </c>
      <c r="B5" s="105" t="s">
        <v>86</v>
      </c>
      <c r="C5" s="105" t="s">
        <v>81</v>
      </c>
      <c r="D5" s="105" t="s">
        <v>82</v>
      </c>
      <c r="E5" s="105" t="s">
        <v>86</v>
      </c>
      <c r="M5" s="105" t="s">
        <v>1522</v>
      </c>
      <c r="N5" s="105" t="s">
        <v>1523</v>
      </c>
      <c r="O5" s="102">
        <v>44714</v>
      </c>
      <c r="P5" s="102">
        <v>44714</v>
      </c>
      <c r="Q5" s="102">
        <v>44710</v>
      </c>
      <c r="R5" s="102">
        <v>44716</v>
      </c>
      <c r="S5" s="103">
        <v>23</v>
      </c>
      <c r="T5" s="103">
        <v>2</v>
      </c>
      <c r="U5" s="103">
        <v>0</v>
      </c>
      <c r="V5" s="103">
        <v>0</v>
      </c>
      <c r="W5" s="103">
        <v>0</v>
      </c>
      <c r="X5" s="104">
        <v>0</v>
      </c>
      <c r="Y5" s="104">
        <v>1</v>
      </c>
      <c r="Z5" s="104">
        <v>1</v>
      </c>
      <c r="AC5" s="103">
        <v>0</v>
      </c>
    </row>
    <row r="6" spans="1:30">
      <c r="A6" s="105" t="s">
        <v>1519</v>
      </c>
      <c r="B6" s="105" t="s">
        <v>88</v>
      </c>
      <c r="C6" s="105" t="s">
        <v>81</v>
      </c>
      <c r="D6" s="105" t="s">
        <v>82</v>
      </c>
      <c r="E6" s="105" t="s">
        <v>88</v>
      </c>
      <c r="M6" s="105" t="s">
        <v>1524</v>
      </c>
      <c r="N6" s="105" t="s">
        <v>1521</v>
      </c>
      <c r="O6" s="102">
        <v>44709</v>
      </c>
      <c r="P6" s="102">
        <v>44711</v>
      </c>
      <c r="Q6" s="102">
        <v>44709</v>
      </c>
      <c r="R6" s="102">
        <v>44709</v>
      </c>
      <c r="S6" s="103">
        <v>22</v>
      </c>
      <c r="T6" s="103">
        <v>1</v>
      </c>
      <c r="U6" s="103">
        <v>0</v>
      </c>
      <c r="V6" s="103">
        <v>0</v>
      </c>
      <c r="W6" s="103">
        <v>0</v>
      </c>
      <c r="X6" s="104">
        <v>0.7</v>
      </c>
      <c r="Y6" s="104">
        <v>1</v>
      </c>
      <c r="Z6" s="104">
        <v>0.7</v>
      </c>
      <c r="AC6" s="103">
        <v>0</v>
      </c>
    </row>
    <row r="7" spans="1:30">
      <c r="A7" s="105" t="s">
        <v>1519</v>
      </c>
      <c r="B7" s="105" t="s">
        <v>88</v>
      </c>
      <c r="C7" s="105" t="s">
        <v>81</v>
      </c>
      <c r="D7" s="105" t="s">
        <v>82</v>
      </c>
      <c r="E7" s="105" t="s">
        <v>88</v>
      </c>
      <c r="M7" s="105" t="s">
        <v>1524</v>
      </c>
      <c r="N7" s="105" t="s">
        <v>876</v>
      </c>
      <c r="O7" s="102">
        <v>44709</v>
      </c>
      <c r="P7" s="102">
        <v>44711</v>
      </c>
      <c r="Q7" s="102">
        <v>44709</v>
      </c>
      <c r="R7" s="102">
        <v>44709</v>
      </c>
      <c r="S7" s="103">
        <v>22</v>
      </c>
      <c r="T7" s="103">
        <v>1</v>
      </c>
      <c r="U7" s="103">
        <v>0</v>
      </c>
      <c r="V7" s="103">
        <v>0</v>
      </c>
      <c r="W7" s="103">
        <v>0</v>
      </c>
      <c r="X7" s="104">
        <v>0.5</v>
      </c>
      <c r="Y7" s="104">
        <v>1</v>
      </c>
      <c r="Z7" s="104">
        <v>0.7</v>
      </c>
      <c r="AC7" s="103">
        <v>0</v>
      </c>
    </row>
    <row r="8" spans="1:30">
      <c r="A8" s="105" t="s">
        <v>1519</v>
      </c>
      <c r="B8" s="105" t="s">
        <v>88</v>
      </c>
      <c r="C8" s="105" t="s">
        <v>81</v>
      </c>
      <c r="D8" s="105" t="s">
        <v>82</v>
      </c>
      <c r="E8" s="105" t="s">
        <v>88</v>
      </c>
      <c r="M8" s="105" t="s">
        <v>1524</v>
      </c>
      <c r="N8" s="105" t="s">
        <v>1521</v>
      </c>
      <c r="O8" s="102">
        <v>44709</v>
      </c>
      <c r="P8" s="102">
        <v>44711</v>
      </c>
      <c r="Q8" s="102">
        <v>44710</v>
      </c>
      <c r="R8" s="102">
        <v>44716</v>
      </c>
      <c r="S8" s="103">
        <v>23</v>
      </c>
      <c r="T8" s="103">
        <v>2</v>
      </c>
      <c r="U8" s="103">
        <v>0.7</v>
      </c>
      <c r="V8" s="103">
        <v>0.7</v>
      </c>
      <c r="W8" s="103">
        <v>0</v>
      </c>
      <c r="X8" s="104">
        <v>0.7</v>
      </c>
      <c r="Y8" s="104">
        <v>1</v>
      </c>
      <c r="Z8" s="104">
        <v>0.7</v>
      </c>
      <c r="AC8" s="103">
        <v>0</v>
      </c>
    </row>
    <row r="9" spans="1:30">
      <c r="A9" s="105" t="s">
        <v>1519</v>
      </c>
      <c r="B9" s="105" t="s">
        <v>88</v>
      </c>
      <c r="C9" s="105" t="s">
        <v>81</v>
      </c>
      <c r="D9" s="105" t="s">
        <v>82</v>
      </c>
      <c r="E9" s="105" t="s">
        <v>88</v>
      </c>
      <c r="M9" s="105" t="s">
        <v>1524</v>
      </c>
      <c r="N9" s="105" t="s">
        <v>876</v>
      </c>
      <c r="O9" s="102">
        <v>44709</v>
      </c>
      <c r="P9" s="102">
        <v>44711</v>
      </c>
      <c r="Q9" s="102">
        <v>44710</v>
      </c>
      <c r="R9" s="102">
        <v>44716</v>
      </c>
      <c r="S9" s="103">
        <v>23</v>
      </c>
      <c r="T9" s="103">
        <v>2</v>
      </c>
      <c r="U9" s="103">
        <v>0.5</v>
      </c>
      <c r="V9" s="103">
        <v>0.5</v>
      </c>
      <c r="W9" s="103">
        <v>0</v>
      </c>
      <c r="X9" s="104">
        <v>0.5</v>
      </c>
      <c r="Y9" s="104">
        <v>1</v>
      </c>
      <c r="Z9" s="104">
        <v>0.7</v>
      </c>
      <c r="AC9" s="103">
        <v>0</v>
      </c>
    </row>
    <row r="10" spans="1:30">
      <c r="A10" s="105" t="s">
        <v>1519</v>
      </c>
      <c r="B10" s="105" t="s">
        <v>90</v>
      </c>
      <c r="C10" s="105" t="s">
        <v>81</v>
      </c>
      <c r="D10" s="105" t="s">
        <v>82</v>
      </c>
      <c r="E10" s="105" t="s">
        <v>90</v>
      </c>
      <c r="M10" s="105" t="s">
        <v>1525</v>
      </c>
      <c r="N10" s="105" t="s">
        <v>1521</v>
      </c>
      <c r="O10" s="102">
        <v>44714</v>
      </c>
      <c r="P10" s="102">
        <v>44714</v>
      </c>
      <c r="Q10" s="102">
        <v>44709</v>
      </c>
      <c r="R10" s="102">
        <v>44709</v>
      </c>
      <c r="S10" s="103">
        <v>22</v>
      </c>
      <c r="T10" s="103">
        <v>1</v>
      </c>
      <c r="U10" s="103">
        <v>0</v>
      </c>
      <c r="V10" s="103">
        <v>0</v>
      </c>
      <c r="W10" s="103">
        <v>0</v>
      </c>
      <c r="X10" s="104">
        <v>1</v>
      </c>
      <c r="Y10" s="104">
        <v>1</v>
      </c>
      <c r="Z10" s="104">
        <v>1</v>
      </c>
      <c r="AC10" s="103">
        <v>0</v>
      </c>
    </row>
    <row r="11" spans="1:30">
      <c r="A11" s="105" t="s">
        <v>1519</v>
      </c>
      <c r="B11" s="105" t="s">
        <v>90</v>
      </c>
      <c r="C11" s="105" t="s">
        <v>81</v>
      </c>
      <c r="D11" s="105" t="s">
        <v>82</v>
      </c>
      <c r="E11" s="105" t="s">
        <v>90</v>
      </c>
      <c r="M11" s="105" t="s">
        <v>1525</v>
      </c>
      <c r="N11" s="105" t="s">
        <v>1521</v>
      </c>
      <c r="O11" s="102">
        <v>44714</v>
      </c>
      <c r="P11" s="102">
        <v>44714</v>
      </c>
      <c r="Q11" s="102">
        <v>44710</v>
      </c>
      <c r="R11" s="102">
        <v>44716</v>
      </c>
      <c r="S11" s="103">
        <v>23</v>
      </c>
      <c r="T11" s="103">
        <v>2</v>
      </c>
      <c r="U11" s="103">
        <v>1</v>
      </c>
      <c r="V11" s="103">
        <v>1</v>
      </c>
      <c r="W11" s="103">
        <v>0</v>
      </c>
      <c r="X11" s="104">
        <v>1</v>
      </c>
      <c r="Y11" s="104">
        <v>1</v>
      </c>
      <c r="Z11" s="104">
        <v>1</v>
      </c>
      <c r="AC11" s="103">
        <v>0</v>
      </c>
    </row>
    <row r="12" spans="1:30">
      <c r="A12" s="105" t="s">
        <v>1519</v>
      </c>
      <c r="B12" s="105" t="s">
        <v>110</v>
      </c>
      <c r="C12" s="105" t="s">
        <v>81</v>
      </c>
      <c r="D12" s="105" t="s">
        <v>108</v>
      </c>
      <c r="E12" s="105" t="s">
        <v>110</v>
      </c>
      <c r="M12" s="105" t="s">
        <v>1526</v>
      </c>
      <c r="N12" s="105" t="s">
        <v>876</v>
      </c>
      <c r="O12" s="102">
        <v>44716</v>
      </c>
      <c r="P12" s="102">
        <v>44720</v>
      </c>
      <c r="Q12" s="102">
        <v>44710</v>
      </c>
      <c r="R12" s="102">
        <v>44716</v>
      </c>
      <c r="S12" s="103">
        <v>23</v>
      </c>
      <c r="T12" s="103">
        <v>2</v>
      </c>
      <c r="U12" s="103">
        <v>0</v>
      </c>
      <c r="V12" s="103">
        <v>0</v>
      </c>
      <c r="W12" s="103">
        <v>0</v>
      </c>
      <c r="X12" s="104">
        <v>1</v>
      </c>
      <c r="Y12" s="104">
        <v>0.66666666666666663</v>
      </c>
      <c r="Z12" s="104">
        <v>0</v>
      </c>
      <c r="AC12" s="103">
        <v>0</v>
      </c>
    </row>
    <row r="13" spans="1:30">
      <c r="A13" s="105" t="s">
        <v>1519</v>
      </c>
      <c r="B13" s="105" t="s">
        <v>110</v>
      </c>
      <c r="C13" s="105" t="s">
        <v>81</v>
      </c>
      <c r="D13" s="105" t="s">
        <v>108</v>
      </c>
      <c r="E13" s="105" t="s">
        <v>110</v>
      </c>
      <c r="M13" s="105" t="s">
        <v>1526</v>
      </c>
      <c r="N13" s="105" t="s">
        <v>876</v>
      </c>
      <c r="O13" s="102">
        <v>44716</v>
      </c>
      <c r="P13" s="102">
        <v>44720</v>
      </c>
      <c r="Q13" s="102">
        <v>44717</v>
      </c>
      <c r="R13" s="102">
        <v>44723</v>
      </c>
      <c r="S13" s="103">
        <v>24</v>
      </c>
      <c r="T13" s="103">
        <v>3</v>
      </c>
      <c r="U13" s="103">
        <v>3</v>
      </c>
      <c r="V13" s="103">
        <v>2</v>
      </c>
      <c r="W13" s="103">
        <v>0</v>
      </c>
      <c r="X13" s="104">
        <v>1</v>
      </c>
      <c r="Y13" s="104">
        <v>0.66666666666666663</v>
      </c>
      <c r="Z13" s="104">
        <v>0</v>
      </c>
      <c r="AC13" s="103">
        <v>0</v>
      </c>
    </row>
    <row r="14" spans="1:30">
      <c r="A14" s="105" t="s">
        <v>1519</v>
      </c>
      <c r="B14" s="105" t="s">
        <v>114</v>
      </c>
      <c r="C14" s="105" t="s">
        <v>81</v>
      </c>
      <c r="D14" s="105" t="s">
        <v>108</v>
      </c>
      <c r="E14" s="105" t="s">
        <v>114</v>
      </c>
      <c r="M14" s="105" t="s">
        <v>1527</v>
      </c>
      <c r="N14" s="105" t="s">
        <v>1523</v>
      </c>
      <c r="O14" s="102">
        <v>44723</v>
      </c>
      <c r="P14" s="102">
        <v>44726</v>
      </c>
      <c r="Q14" s="102">
        <v>44717</v>
      </c>
      <c r="R14" s="102">
        <v>44723</v>
      </c>
      <c r="S14" s="103">
        <v>24</v>
      </c>
      <c r="T14" s="103">
        <v>3</v>
      </c>
      <c r="U14" s="103">
        <v>0</v>
      </c>
      <c r="V14" s="103">
        <v>0</v>
      </c>
      <c r="W14" s="103">
        <v>0</v>
      </c>
      <c r="X14" s="104">
        <v>1</v>
      </c>
      <c r="Y14" s="104">
        <v>0</v>
      </c>
      <c r="Z14" s="104">
        <v>0</v>
      </c>
      <c r="AC14" s="103">
        <v>0</v>
      </c>
    </row>
    <row r="15" spans="1:30">
      <c r="A15" s="105" t="s">
        <v>1519</v>
      </c>
      <c r="B15" s="105" t="s">
        <v>114</v>
      </c>
      <c r="C15" s="105" t="s">
        <v>81</v>
      </c>
      <c r="D15" s="105" t="s">
        <v>108</v>
      </c>
      <c r="E15" s="105" t="s">
        <v>114</v>
      </c>
      <c r="M15" s="105" t="s">
        <v>1527</v>
      </c>
      <c r="N15" s="105" t="s">
        <v>1523</v>
      </c>
      <c r="O15" s="102">
        <v>44723</v>
      </c>
      <c r="P15" s="102">
        <v>44726</v>
      </c>
      <c r="Q15" s="102">
        <v>44724</v>
      </c>
      <c r="R15" s="102">
        <v>44730</v>
      </c>
      <c r="S15" s="103">
        <v>25</v>
      </c>
      <c r="T15" s="103">
        <v>4</v>
      </c>
      <c r="U15" s="103">
        <v>2</v>
      </c>
      <c r="V15" s="103">
        <v>0</v>
      </c>
      <c r="W15" s="103">
        <v>0</v>
      </c>
      <c r="X15" s="104">
        <v>1</v>
      </c>
      <c r="Y15" s="104">
        <v>0</v>
      </c>
      <c r="Z15" s="104">
        <v>0</v>
      </c>
      <c r="AC15" s="103">
        <v>0</v>
      </c>
    </row>
    <row r="16" spans="1:30">
      <c r="A16" s="105" t="s">
        <v>1519</v>
      </c>
      <c r="B16" s="105" t="s">
        <v>123</v>
      </c>
      <c r="C16" s="105" t="s">
        <v>81</v>
      </c>
      <c r="D16" s="105" t="s">
        <v>121</v>
      </c>
      <c r="E16" s="105" t="s">
        <v>123</v>
      </c>
      <c r="M16" s="105" t="s">
        <v>1528</v>
      </c>
      <c r="N16" s="105" t="s">
        <v>1523</v>
      </c>
      <c r="O16" s="102">
        <v>44737</v>
      </c>
      <c r="P16" s="102">
        <v>44755</v>
      </c>
      <c r="Q16" s="102">
        <v>44731</v>
      </c>
      <c r="R16" s="102">
        <v>44737</v>
      </c>
      <c r="S16" s="103">
        <v>26</v>
      </c>
      <c r="T16" s="103">
        <v>5</v>
      </c>
      <c r="U16" s="103">
        <v>0</v>
      </c>
      <c r="V16" s="103">
        <v>0</v>
      </c>
      <c r="W16" s="103">
        <v>0</v>
      </c>
      <c r="X16" s="104">
        <v>1</v>
      </c>
      <c r="Y16" s="104">
        <v>0</v>
      </c>
      <c r="Z16" s="104">
        <v>0</v>
      </c>
      <c r="AC16" s="103">
        <v>0</v>
      </c>
    </row>
    <row r="17" spans="1:29">
      <c r="A17" s="105" t="s">
        <v>1519</v>
      </c>
      <c r="B17" s="105" t="s">
        <v>123</v>
      </c>
      <c r="C17" s="105" t="s">
        <v>81</v>
      </c>
      <c r="D17" s="105" t="s">
        <v>121</v>
      </c>
      <c r="E17" s="105" t="s">
        <v>123</v>
      </c>
      <c r="M17" s="105" t="s">
        <v>1528</v>
      </c>
      <c r="N17" s="105" t="s">
        <v>1523</v>
      </c>
      <c r="O17" s="102">
        <v>44737</v>
      </c>
      <c r="P17" s="102">
        <v>44755</v>
      </c>
      <c r="Q17" s="102">
        <v>44738</v>
      </c>
      <c r="R17" s="102">
        <v>44744</v>
      </c>
      <c r="S17" s="103">
        <v>27</v>
      </c>
      <c r="T17" s="103">
        <v>6</v>
      </c>
      <c r="U17" s="103">
        <v>5</v>
      </c>
      <c r="V17" s="103">
        <v>0</v>
      </c>
      <c r="W17" s="103">
        <v>0</v>
      </c>
      <c r="X17" s="104">
        <v>1</v>
      </c>
      <c r="Y17" s="104">
        <v>0</v>
      </c>
      <c r="Z17" s="104">
        <v>0</v>
      </c>
      <c r="AC17" s="103">
        <v>0</v>
      </c>
    </row>
    <row r="18" spans="1:29">
      <c r="A18" s="105" t="s">
        <v>1519</v>
      </c>
      <c r="B18" s="105" t="s">
        <v>123</v>
      </c>
      <c r="C18" s="105" t="s">
        <v>81</v>
      </c>
      <c r="D18" s="105" t="s">
        <v>121</v>
      </c>
      <c r="E18" s="105" t="s">
        <v>123</v>
      </c>
      <c r="M18" s="105" t="s">
        <v>1528</v>
      </c>
      <c r="N18" s="105" t="s">
        <v>1523</v>
      </c>
      <c r="O18" s="102">
        <v>44737</v>
      </c>
      <c r="P18" s="102">
        <v>44755</v>
      </c>
      <c r="Q18" s="102">
        <v>44745</v>
      </c>
      <c r="R18" s="102">
        <v>44751</v>
      </c>
      <c r="S18" s="103">
        <v>28</v>
      </c>
      <c r="T18" s="103">
        <v>7</v>
      </c>
      <c r="U18" s="103">
        <v>5</v>
      </c>
      <c r="V18" s="103">
        <v>0</v>
      </c>
      <c r="W18" s="103">
        <v>0</v>
      </c>
      <c r="X18" s="104">
        <v>1</v>
      </c>
      <c r="Y18" s="104">
        <v>0</v>
      </c>
      <c r="Z18" s="104">
        <v>0</v>
      </c>
      <c r="AC18" s="103">
        <v>0</v>
      </c>
    </row>
    <row r="19" spans="1:29">
      <c r="A19" s="105" t="s">
        <v>1519</v>
      </c>
      <c r="B19" s="105" t="s">
        <v>123</v>
      </c>
      <c r="C19" s="105" t="s">
        <v>81</v>
      </c>
      <c r="D19" s="105" t="s">
        <v>121</v>
      </c>
      <c r="E19" s="105" t="s">
        <v>123</v>
      </c>
      <c r="M19" s="105" t="s">
        <v>1528</v>
      </c>
      <c r="N19" s="105" t="s">
        <v>1523</v>
      </c>
      <c r="O19" s="102">
        <v>44737</v>
      </c>
      <c r="P19" s="102">
        <v>44755</v>
      </c>
      <c r="Q19" s="102">
        <v>44752</v>
      </c>
      <c r="R19" s="102">
        <v>44758</v>
      </c>
      <c r="S19" s="103">
        <v>29</v>
      </c>
      <c r="T19" s="103">
        <v>8</v>
      </c>
      <c r="U19" s="103">
        <v>3</v>
      </c>
      <c r="V19" s="103">
        <v>0</v>
      </c>
      <c r="W19" s="103">
        <v>0</v>
      </c>
      <c r="X19" s="104">
        <v>1</v>
      </c>
      <c r="Y19" s="104">
        <v>0</v>
      </c>
      <c r="Z19" s="104">
        <v>0</v>
      </c>
      <c r="AC19" s="103">
        <v>0</v>
      </c>
    </row>
    <row r="20" spans="1:29">
      <c r="A20" s="105" t="s">
        <v>1519</v>
      </c>
      <c r="B20" s="105" t="s">
        <v>129</v>
      </c>
      <c r="C20" s="105" t="s">
        <v>81</v>
      </c>
      <c r="D20" s="105" t="s">
        <v>121</v>
      </c>
      <c r="E20" s="105" t="s">
        <v>129</v>
      </c>
      <c r="M20" s="105" t="s">
        <v>1529</v>
      </c>
      <c r="N20" s="105" t="s">
        <v>1530</v>
      </c>
      <c r="O20" s="102">
        <v>44756</v>
      </c>
      <c r="P20" s="102">
        <v>44762</v>
      </c>
      <c r="Q20" s="102">
        <v>44752</v>
      </c>
      <c r="R20" s="102">
        <v>44758</v>
      </c>
      <c r="S20" s="103">
        <v>29</v>
      </c>
      <c r="T20" s="103">
        <v>8</v>
      </c>
      <c r="U20" s="103">
        <v>2</v>
      </c>
      <c r="V20" s="103">
        <v>0</v>
      </c>
      <c r="W20" s="103">
        <v>0</v>
      </c>
      <c r="X20" s="104">
        <v>1</v>
      </c>
      <c r="Y20" s="104">
        <v>0</v>
      </c>
      <c r="Z20" s="104">
        <v>0</v>
      </c>
      <c r="AC20" s="103">
        <v>0</v>
      </c>
    </row>
    <row r="21" spans="1:29">
      <c r="A21" s="105" t="s">
        <v>1519</v>
      </c>
      <c r="B21" s="105" t="s">
        <v>129</v>
      </c>
      <c r="C21" s="105" t="s">
        <v>81</v>
      </c>
      <c r="D21" s="105" t="s">
        <v>121</v>
      </c>
      <c r="E21" s="105" t="s">
        <v>129</v>
      </c>
      <c r="M21" s="105" t="s">
        <v>1529</v>
      </c>
      <c r="N21" s="105" t="s">
        <v>1530</v>
      </c>
      <c r="O21" s="102">
        <v>44756</v>
      </c>
      <c r="P21" s="102">
        <v>44762</v>
      </c>
      <c r="Q21" s="102">
        <v>44759</v>
      </c>
      <c r="R21" s="102">
        <v>44765</v>
      </c>
      <c r="S21" s="103">
        <v>30</v>
      </c>
      <c r="T21" s="103">
        <v>9</v>
      </c>
      <c r="U21" s="103">
        <v>3</v>
      </c>
      <c r="V21" s="103">
        <v>0</v>
      </c>
      <c r="W21" s="103">
        <v>0</v>
      </c>
      <c r="X21" s="104">
        <v>1</v>
      </c>
      <c r="Y21" s="104">
        <v>0</v>
      </c>
      <c r="Z21" s="104">
        <v>0</v>
      </c>
      <c r="AC21" s="103">
        <v>0</v>
      </c>
    </row>
    <row r="22" spans="1:29">
      <c r="A22" s="105" t="s">
        <v>1519</v>
      </c>
      <c r="B22" s="105" t="s">
        <v>166</v>
      </c>
      <c r="C22" s="105" t="s">
        <v>81</v>
      </c>
      <c r="D22" s="105" t="s">
        <v>164</v>
      </c>
      <c r="E22" s="105" t="s">
        <v>166</v>
      </c>
      <c r="M22" s="105" t="s">
        <v>290</v>
      </c>
      <c r="N22" s="105" t="s">
        <v>1530</v>
      </c>
      <c r="O22" s="102">
        <v>44765</v>
      </c>
      <c r="P22" s="102">
        <v>44770</v>
      </c>
      <c r="Q22" s="102">
        <v>44759</v>
      </c>
      <c r="R22" s="102">
        <v>44765</v>
      </c>
      <c r="S22" s="103">
        <v>30</v>
      </c>
      <c r="T22" s="103">
        <v>9</v>
      </c>
      <c r="U22" s="103">
        <v>0</v>
      </c>
      <c r="V22" s="103">
        <v>0</v>
      </c>
      <c r="W22" s="103">
        <v>0</v>
      </c>
      <c r="X22" s="104">
        <v>1</v>
      </c>
      <c r="Y22" s="104">
        <v>0</v>
      </c>
      <c r="Z22" s="104">
        <v>0</v>
      </c>
      <c r="AC22" s="103">
        <v>0</v>
      </c>
    </row>
    <row r="23" spans="1:29">
      <c r="A23" s="105" t="s">
        <v>1519</v>
      </c>
      <c r="B23" s="105" t="s">
        <v>166</v>
      </c>
      <c r="C23" s="105" t="s">
        <v>81</v>
      </c>
      <c r="D23" s="105" t="s">
        <v>164</v>
      </c>
      <c r="E23" s="105" t="s">
        <v>166</v>
      </c>
      <c r="M23" s="105" t="s">
        <v>290</v>
      </c>
      <c r="N23" s="105" t="s">
        <v>1521</v>
      </c>
      <c r="O23" s="102">
        <v>44765</v>
      </c>
      <c r="P23" s="102">
        <v>44770</v>
      </c>
      <c r="Q23" s="102">
        <v>44759</v>
      </c>
      <c r="R23" s="102">
        <v>44765</v>
      </c>
      <c r="S23" s="103">
        <v>30</v>
      </c>
      <c r="T23" s="103">
        <v>9</v>
      </c>
      <c r="U23" s="103">
        <v>0</v>
      </c>
      <c r="V23" s="103">
        <v>0</v>
      </c>
      <c r="W23" s="103">
        <v>0</v>
      </c>
      <c r="X23" s="104">
        <v>1</v>
      </c>
      <c r="Y23" s="104">
        <v>0</v>
      </c>
      <c r="Z23" s="104">
        <v>0</v>
      </c>
      <c r="AC23" s="103">
        <v>0</v>
      </c>
    </row>
    <row r="24" spans="1:29">
      <c r="A24" s="105" t="s">
        <v>1519</v>
      </c>
      <c r="B24" s="105" t="s">
        <v>166</v>
      </c>
      <c r="C24" s="105" t="s">
        <v>81</v>
      </c>
      <c r="D24" s="105" t="s">
        <v>164</v>
      </c>
      <c r="E24" s="105" t="s">
        <v>166</v>
      </c>
      <c r="M24" s="105" t="s">
        <v>290</v>
      </c>
      <c r="N24" s="105" t="s">
        <v>1530</v>
      </c>
      <c r="O24" s="102">
        <v>44765</v>
      </c>
      <c r="P24" s="102">
        <v>44770</v>
      </c>
      <c r="Q24" s="102">
        <v>44766</v>
      </c>
      <c r="R24" s="102">
        <v>44772</v>
      </c>
      <c r="S24" s="103">
        <v>31</v>
      </c>
      <c r="T24" s="103">
        <v>10</v>
      </c>
      <c r="U24" s="103">
        <v>4</v>
      </c>
      <c r="V24" s="103">
        <v>0</v>
      </c>
      <c r="W24" s="103">
        <v>0</v>
      </c>
      <c r="X24" s="104">
        <v>1</v>
      </c>
      <c r="Y24" s="104">
        <v>0</v>
      </c>
      <c r="Z24" s="104">
        <v>0</v>
      </c>
      <c r="AC24" s="103">
        <v>0</v>
      </c>
    </row>
    <row r="25" spans="1:29">
      <c r="A25" s="105" t="s">
        <v>1519</v>
      </c>
      <c r="B25" s="105" t="s">
        <v>166</v>
      </c>
      <c r="C25" s="105" t="s">
        <v>81</v>
      </c>
      <c r="D25" s="105" t="s">
        <v>164</v>
      </c>
      <c r="E25" s="105" t="s">
        <v>166</v>
      </c>
      <c r="M25" s="105" t="s">
        <v>290</v>
      </c>
      <c r="N25" s="105" t="s">
        <v>1521</v>
      </c>
      <c r="O25" s="102">
        <v>44765</v>
      </c>
      <c r="P25" s="102">
        <v>44770</v>
      </c>
      <c r="Q25" s="102">
        <v>44766</v>
      </c>
      <c r="R25" s="102">
        <v>44772</v>
      </c>
      <c r="S25" s="103">
        <v>31</v>
      </c>
      <c r="T25" s="103">
        <v>10</v>
      </c>
      <c r="U25" s="103">
        <v>4</v>
      </c>
      <c r="V25" s="103">
        <v>0</v>
      </c>
      <c r="W25" s="103">
        <v>0</v>
      </c>
      <c r="X25" s="104">
        <v>1</v>
      </c>
      <c r="Y25" s="104">
        <v>0</v>
      </c>
      <c r="Z25" s="104">
        <v>0</v>
      </c>
      <c r="AC25" s="103">
        <v>0</v>
      </c>
    </row>
    <row r="26" spans="1:29">
      <c r="A26" s="105" t="s">
        <v>1519</v>
      </c>
      <c r="B26" s="105" t="s">
        <v>192</v>
      </c>
      <c r="C26" s="105" t="s">
        <v>81</v>
      </c>
      <c r="D26" s="105" t="s">
        <v>164</v>
      </c>
      <c r="E26" s="105" t="s">
        <v>192</v>
      </c>
      <c r="M26" s="105" t="s">
        <v>1531</v>
      </c>
      <c r="N26" s="105" t="s">
        <v>876</v>
      </c>
      <c r="O26" s="102">
        <v>44771</v>
      </c>
      <c r="P26" s="102">
        <v>44775</v>
      </c>
      <c r="Q26" s="102">
        <v>44766</v>
      </c>
      <c r="R26" s="102">
        <v>44772</v>
      </c>
      <c r="S26" s="103">
        <v>31</v>
      </c>
      <c r="T26" s="103">
        <v>10</v>
      </c>
      <c r="U26" s="103">
        <v>1</v>
      </c>
      <c r="V26" s="103">
        <v>0</v>
      </c>
      <c r="W26" s="103">
        <v>0</v>
      </c>
      <c r="X26" s="104">
        <v>1</v>
      </c>
      <c r="Y26" s="104">
        <v>0</v>
      </c>
      <c r="Z26" s="104">
        <v>0</v>
      </c>
      <c r="AC26" s="103">
        <v>0</v>
      </c>
    </row>
    <row r="27" spans="1:29">
      <c r="A27" s="105" t="s">
        <v>1519</v>
      </c>
      <c r="B27" s="105" t="s">
        <v>192</v>
      </c>
      <c r="C27" s="105" t="s">
        <v>81</v>
      </c>
      <c r="D27" s="105" t="s">
        <v>164</v>
      </c>
      <c r="E27" s="105" t="s">
        <v>192</v>
      </c>
      <c r="M27" s="105" t="s">
        <v>1531</v>
      </c>
      <c r="N27" s="105" t="s">
        <v>876</v>
      </c>
      <c r="O27" s="102">
        <v>44771</v>
      </c>
      <c r="P27" s="102">
        <v>44775</v>
      </c>
      <c r="Q27" s="102">
        <v>44773</v>
      </c>
      <c r="R27" s="102">
        <v>44779</v>
      </c>
      <c r="S27" s="103">
        <v>32</v>
      </c>
      <c r="T27" s="103">
        <v>11</v>
      </c>
      <c r="U27" s="103">
        <v>2</v>
      </c>
      <c r="V27" s="103">
        <v>0</v>
      </c>
      <c r="W27" s="103">
        <v>0</v>
      </c>
      <c r="X27" s="104">
        <v>1</v>
      </c>
      <c r="Y27" s="104">
        <v>0</v>
      </c>
      <c r="Z27" s="104">
        <v>0</v>
      </c>
      <c r="AC27" s="103">
        <v>0</v>
      </c>
    </row>
    <row r="28" spans="1:29">
      <c r="A28" s="105" t="s">
        <v>1519</v>
      </c>
      <c r="B28" s="105" t="s">
        <v>226</v>
      </c>
      <c r="C28" s="105" t="s">
        <v>81</v>
      </c>
      <c r="D28" s="105" t="s">
        <v>164</v>
      </c>
      <c r="E28" s="105" t="s">
        <v>226</v>
      </c>
      <c r="M28" s="105" t="s">
        <v>1532</v>
      </c>
      <c r="N28" s="105" t="s">
        <v>1533</v>
      </c>
      <c r="O28" s="102">
        <v>44776</v>
      </c>
      <c r="P28" s="102">
        <v>44778</v>
      </c>
      <c r="Q28" s="102">
        <v>44773</v>
      </c>
      <c r="R28" s="102">
        <v>44779</v>
      </c>
      <c r="S28" s="103">
        <v>32</v>
      </c>
      <c r="T28" s="103">
        <v>11</v>
      </c>
      <c r="U28" s="103">
        <v>3.0000000000000004</v>
      </c>
      <c r="V28" s="103">
        <v>0</v>
      </c>
      <c r="W28" s="103">
        <v>0</v>
      </c>
      <c r="X28" s="104">
        <v>1</v>
      </c>
      <c r="Y28" s="104">
        <v>0</v>
      </c>
      <c r="Z28" s="104">
        <v>0</v>
      </c>
      <c r="AC28" s="103">
        <v>0</v>
      </c>
    </row>
    <row r="29" spans="1:29">
      <c r="A29" s="105" t="s">
        <v>1519</v>
      </c>
      <c r="B29" s="105" t="s">
        <v>226</v>
      </c>
      <c r="C29" s="105" t="s">
        <v>81</v>
      </c>
      <c r="D29" s="105" t="s">
        <v>164</v>
      </c>
      <c r="E29" s="105" t="s">
        <v>226</v>
      </c>
      <c r="M29" s="105" t="s">
        <v>1532</v>
      </c>
      <c r="N29" s="105" t="s">
        <v>1530</v>
      </c>
      <c r="O29" s="102">
        <v>44776</v>
      </c>
      <c r="P29" s="102">
        <v>44778</v>
      </c>
      <c r="Q29" s="102">
        <v>44773</v>
      </c>
      <c r="R29" s="102">
        <v>44779</v>
      </c>
      <c r="S29" s="103">
        <v>32</v>
      </c>
      <c r="T29" s="103">
        <v>11</v>
      </c>
      <c r="U29" s="103">
        <v>0.9</v>
      </c>
      <c r="V29" s="103">
        <v>0</v>
      </c>
      <c r="W29" s="103">
        <v>0</v>
      </c>
      <c r="X29" s="104">
        <v>0.3</v>
      </c>
      <c r="Y29" s="104">
        <v>0</v>
      </c>
      <c r="Z29" s="104">
        <v>0</v>
      </c>
      <c r="AC29" s="103">
        <v>0</v>
      </c>
    </row>
    <row r="30" spans="1:29">
      <c r="A30" s="105" t="s">
        <v>1519</v>
      </c>
      <c r="B30" s="105" t="s">
        <v>226</v>
      </c>
      <c r="C30" s="105" t="s">
        <v>81</v>
      </c>
      <c r="D30" s="105" t="s">
        <v>164</v>
      </c>
      <c r="E30" s="105" t="s">
        <v>226</v>
      </c>
      <c r="M30" s="105" t="s">
        <v>1532</v>
      </c>
      <c r="N30" s="105" t="s">
        <v>1521</v>
      </c>
      <c r="O30" s="102">
        <v>44776</v>
      </c>
      <c r="P30" s="102">
        <v>44778</v>
      </c>
      <c r="Q30" s="102">
        <v>44773</v>
      </c>
      <c r="R30" s="102">
        <v>44779</v>
      </c>
      <c r="S30" s="103">
        <v>32</v>
      </c>
      <c r="T30" s="103">
        <v>11</v>
      </c>
      <c r="U30" s="103">
        <v>0.9</v>
      </c>
      <c r="V30" s="103">
        <v>0</v>
      </c>
      <c r="W30" s="103">
        <v>0</v>
      </c>
      <c r="X30" s="104">
        <v>0.3</v>
      </c>
      <c r="Y30" s="104">
        <v>0</v>
      </c>
      <c r="Z30" s="104">
        <v>0</v>
      </c>
      <c r="AC30"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33203125" style="69" customWidth="1"/>
    <col min="2" max="2" width="33.33203125" style="69" bestFit="1" customWidth="1"/>
    <col min="3" max="3" width="20.33203125" style="68" customWidth="1"/>
    <col min="4" max="4" width="23.109375" style="68" customWidth="1"/>
    <col min="5" max="5" width="10" style="68" customWidth="1"/>
    <col min="6" max="6" width="15.33203125" style="68" customWidth="1"/>
    <col min="7" max="7" width="21.33203125" style="68" bestFit="1" customWidth="1"/>
    <col min="8" max="8" width="40.44140625" style="69" customWidth="1"/>
    <col min="9" max="9" width="23.5546875" style="69" bestFit="1" customWidth="1"/>
    <col min="10" max="10" width="9.44140625" style="69" bestFit="1" customWidth="1"/>
    <col min="11" max="11" width="22.44140625" style="69" bestFit="1" customWidth="1"/>
    <col min="12" max="12" width="60.6640625" style="69" bestFit="1" customWidth="1"/>
    <col min="13" max="13" width="25.109375" style="69" bestFit="1" customWidth="1"/>
    <col min="14" max="14" width="4.6640625" style="69" bestFit="1" customWidth="1"/>
    <col min="15" max="15" width="23" style="69" bestFit="1" customWidth="1"/>
    <col min="16" max="16" width="8" style="69" bestFit="1" customWidth="1"/>
    <col min="17" max="17" width="28.44140625" style="69" bestFit="1" customWidth="1"/>
    <col min="18" max="18" width="6" style="69" bestFit="1" customWidth="1"/>
    <col min="19" max="19" width="27.6640625" style="69" bestFit="1" customWidth="1"/>
    <col min="20" max="20" width="4.6640625" style="69" bestFit="1" customWidth="1"/>
    <col min="21" max="21" width="24.44140625" style="69" bestFit="1" customWidth="1"/>
    <col min="22" max="22" width="4.33203125" style="69" bestFit="1" customWidth="1"/>
    <col min="23" max="23" width="28.88671875" style="69" bestFit="1" customWidth="1"/>
    <col min="24" max="24" width="8" style="69" bestFit="1" customWidth="1"/>
    <col min="25" max="25" width="22.5546875" style="69" bestFit="1" customWidth="1"/>
    <col min="26" max="26" width="4.88671875" style="69" bestFit="1" customWidth="1"/>
    <col min="27" max="27" width="24.44140625" style="69" hidden="1" customWidth="1"/>
    <col min="28" max="28" width="7.44140625" style="69" hidden="1" customWidth="1"/>
    <col min="29" max="29" width="19.6640625" style="69" bestFit="1" customWidth="1"/>
    <col min="30" max="30" width="4.33203125" style="69" bestFit="1" customWidth="1"/>
    <col min="31" max="31" width="15.44140625" style="69" bestFit="1" customWidth="1"/>
    <col min="32" max="32" width="39.5546875" style="69" bestFit="1" customWidth="1"/>
    <col min="33" max="33" width="35.6640625" style="69" bestFit="1" customWidth="1"/>
    <col min="34" max="34" width="4.88671875" style="69" bestFit="1" customWidth="1"/>
    <col min="35" max="35" width="24.33203125" style="69" bestFit="1" customWidth="1"/>
    <col min="36" max="36" width="8.6640625" style="69" bestFit="1" customWidth="1"/>
    <col min="37" max="37" width="26" style="69" bestFit="1" customWidth="1"/>
    <col min="38" max="38" width="4.5546875" style="69" bestFit="1" customWidth="1"/>
    <col min="39" max="39" width="35.5546875" style="69" bestFit="1" customWidth="1"/>
    <col min="40" max="40" width="33.44140625" style="69" bestFit="1" customWidth="1"/>
    <col min="41" max="41" width="22.5546875" style="69" bestFit="1" customWidth="1"/>
    <col min="42" max="42" width="5.33203125" style="69" bestFit="1" customWidth="1"/>
    <col min="43" max="43" width="16.5546875" style="69" bestFit="1" customWidth="1"/>
    <col min="44" max="44" width="93.44140625" style="69" bestFit="1" customWidth="1"/>
    <col min="45" max="45" width="21" style="69" bestFit="1" customWidth="1"/>
    <col min="46" max="46" width="5.44140625" style="69" bestFit="1" customWidth="1"/>
    <col min="47" max="47" width="14.88671875" style="69" bestFit="1" customWidth="1"/>
    <col min="48" max="48" width="28.5546875" style="69" bestFit="1" customWidth="1"/>
    <col min="49" max="49" width="22.5546875" style="69" bestFit="1" customWidth="1"/>
    <col min="50" max="50" width="4.88671875" style="69" bestFit="1" customWidth="1"/>
    <col min="51" max="51" width="15.5546875" style="69" bestFit="1" customWidth="1"/>
    <col min="52" max="53" width="13.109375" style="69" bestFit="1" customWidth="1"/>
    <col min="54" max="55" width="14.88671875" style="69" bestFit="1" customWidth="1"/>
    <col min="56" max="57" width="22.5546875" style="69" bestFit="1" customWidth="1"/>
    <col min="58" max="59" width="15.5546875" style="69" bestFit="1" customWidth="1"/>
    <col min="60" max="61" width="13.109375" style="69" bestFit="1" customWidth="1"/>
    <col min="62" max="63" width="14.88671875" style="69" bestFit="1" customWidth="1"/>
    <col min="64" max="65" width="22.5546875" style="69" bestFit="1" customWidth="1"/>
    <col min="66" max="66" width="10" style="69"/>
    <col min="67" max="67" width="33.6640625" style="69" bestFit="1" customWidth="1"/>
    <col min="68" max="16384" width="10" style="69"/>
  </cols>
  <sheetData>
    <row r="1" spans="1:8" s="68" customFormat="1">
      <c r="A1" s="67" t="s">
        <v>1534</v>
      </c>
      <c r="B1" s="67" t="s">
        <v>1535</v>
      </c>
      <c r="C1" s="67" t="s">
        <v>1536</v>
      </c>
      <c r="D1" s="67" t="s">
        <v>1537</v>
      </c>
      <c r="E1" s="67" t="s">
        <v>1538</v>
      </c>
      <c r="F1" s="67" t="s">
        <v>1539</v>
      </c>
      <c r="G1" s="67" t="s">
        <v>1540</v>
      </c>
      <c r="H1" s="67" t="s">
        <v>1541</v>
      </c>
    </row>
    <row r="2" spans="1:8">
      <c r="A2" s="170" t="s">
        <v>1542</v>
      </c>
      <c r="B2" s="170" t="s">
        <v>1543</v>
      </c>
      <c r="C2" s="171" t="s">
        <v>1544</v>
      </c>
      <c r="D2" s="171"/>
      <c r="E2" s="171"/>
      <c r="F2" s="171"/>
      <c r="G2" s="171"/>
      <c r="H2" s="171" t="s">
        <v>1545</v>
      </c>
    </row>
    <row r="3" spans="1:8">
      <c r="A3" s="170" t="s">
        <v>1542</v>
      </c>
      <c r="B3" s="170" t="s">
        <v>1546</v>
      </c>
      <c r="C3" s="171" t="s">
        <v>1544</v>
      </c>
      <c r="D3" s="171"/>
      <c r="E3" s="171"/>
      <c r="F3" s="171"/>
      <c r="G3" s="171"/>
      <c r="H3" s="171" t="s">
        <v>1545</v>
      </c>
    </row>
    <row r="4" spans="1:8">
      <c r="A4" s="170" t="s">
        <v>1542</v>
      </c>
      <c r="B4" s="170" t="s">
        <v>1547</v>
      </c>
      <c r="C4" s="186" t="s">
        <v>1548</v>
      </c>
      <c r="D4" s="171"/>
      <c r="E4" s="171"/>
      <c r="F4" s="171"/>
      <c r="G4" s="171"/>
      <c r="H4" s="171" t="s">
        <v>1545</v>
      </c>
    </row>
    <row r="5" spans="1:8">
      <c r="A5" s="170" t="s">
        <v>1542</v>
      </c>
      <c r="B5" s="170" t="s">
        <v>1549</v>
      </c>
      <c r="C5" s="171" t="s">
        <v>1550</v>
      </c>
      <c r="D5" s="171"/>
      <c r="E5" s="171"/>
      <c r="F5" s="171"/>
      <c r="G5" s="171"/>
      <c r="H5" s="171" t="s">
        <v>1545</v>
      </c>
    </row>
    <row r="6" spans="1:8">
      <c r="A6" s="170" t="s">
        <v>1542</v>
      </c>
      <c r="B6" s="170" t="s">
        <v>1551</v>
      </c>
      <c r="C6" s="187" t="s">
        <v>1552</v>
      </c>
      <c r="D6" s="171"/>
      <c r="E6" s="171"/>
      <c r="F6" s="171"/>
      <c r="G6" s="171"/>
      <c r="H6" s="171" t="s">
        <v>1545</v>
      </c>
    </row>
    <row r="7" spans="1:8">
      <c r="A7" s="170" t="s">
        <v>1542</v>
      </c>
      <c r="B7" s="170" t="s">
        <v>1553</v>
      </c>
      <c r="C7" s="170" t="s">
        <v>1544</v>
      </c>
      <c r="D7" s="171"/>
      <c r="E7" s="171"/>
      <c r="F7" s="171"/>
      <c r="G7" s="171"/>
      <c r="H7" s="171" t="s">
        <v>1545</v>
      </c>
    </row>
    <row r="8" spans="1:8">
      <c r="A8" s="189" t="s">
        <v>1542</v>
      </c>
      <c r="B8" s="189" t="s">
        <v>1554</v>
      </c>
      <c r="C8" s="190" t="s">
        <v>1555</v>
      </c>
      <c r="D8" s="191" t="s">
        <v>1556</v>
      </c>
      <c r="E8" s="191">
        <v>1</v>
      </c>
      <c r="F8" s="191"/>
      <c r="G8" s="189"/>
      <c r="H8" s="191" t="s">
        <v>1557</v>
      </c>
    </row>
    <row r="9" spans="1:8">
      <c r="A9" s="170" t="s">
        <v>1542</v>
      </c>
      <c r="B9" s="170" t="s">
        <v>1558</v>
      </c>
      <c r="C9" s="188">
        <v>44717</v>
      </c>
      <c r="D9" s="171"/>
      <c r="E9" s="171"/>
      <c r="F9" s="171"/>
      <c r="G9" s="171"/>
      <c r="H9" s="171" t="s">
        <v>1545</v>
      </c>
    </row>
    <row r="10" spans="1:8">
      <c r="A10" s="170" t="s">
        <v>1542</v>
      </c>
      <c r="B10" s="170" t="s">
        <v>1559</v>
      </c>
      <c r="C10" s="171" t="s">
        <v>1560</v>
      </c>
      <c r="D10" s="171"/>
      <c r="E10" s="171"/>
      <c r="F10" s="171"/>
      <c r="G10" s="171"/>
      <c r="H10" s="171" t="s">
        <v>1545</v>
      </c>
    </row>
    <row r="11" spans="1:8">
      <c r="A11" s="69" t="s">
        <v>1561</v>
      </c>
      <c r="B11" s="69" t="s">
        <v>1562</v>
      </c>
      <c r="C11" s="68">
        <v>1</v>
      </c>
      <c r="G11" s="71">
        <v>44719.165729166663</v>
      </c>
    </row>
    <row r="12" spans="1:8">
      <c r="A12" s="69" t="s">
        <v>1561</v>
      </c>
      <c r="B12" s="69" t="s">
        <v>1563</v>
      </c>
      <c r="C12" s="68">
        <v>1</v>
      </c>
    </row>
    <row r="13" spans="1:8">
      <c r="A13" s="69" t="s">
        <v>1561</v>
      </c>
      <c r="B13" s="69" t="s">
        <v>1564</v>
      </c>
      <c r="C13" s="68">
        <v>1</v>
      </c>
      <c r="G13" s="71">
        <v>44719.165729166663</v>
      </c>
    </row>
    <row r="14" spans="1:8">
      <c r="A14" s="69" t="s">
        <v>1561</v>
      </c>
      <c r="B14" s="69" t="s">
        <v>1565</v>
      </c>
      <c r="C14" s="68">
        <v>0</v>
      </c>
      <c r="G14" s="71">
        <v>44719.165729166663</v>
      </c>
    </row>
    <row r="15" spans="1:8">
      <c r="A15" s="69" t="s">
        <v>1561</v>
      </c>
      <c r="B15" s="69" t="s">
        <v>1566</v>
      </c>
      <c r="C15" s="68">
        <v>1</v>
      </c>
      <c r="G15" s="71">
        <v>44719.165729166663</v>
      </c>
    </row>
    <row r="16" spans="1:8">
      <c r="A16" s="69" t="s">
        <v>1561</v>
      </c>
      <c r="B16" s="69" t="s">
        <v>1567</v>
      </c>
      <c r="C16" s="68">
        <v>1</v>
      </c>
      <c r="G16" s="71">
        <v>44719.165729166663</v>
      </c>
    </row>
    <row r="17" spans="1:7">
      <c r="A17" s="69" t="s">
        <v>1561</v>
      </c>
      <c r="B17" s="69" t="s">
        <v>1568</v>
      </c>
      <c r="C17" s="68">
        <v>1</v>
      </c>
      <c r="G17" s="71">
        <v>44719.165729166663</v>
      </c>
    </row>
    <row r="18" spans="1:7">
      <c r="A18" s="69" t="s">
        <v>1561</v>
      </c>
      <c r="B18" s="69" t="s">
        <v>1569</v>
      </c>
      <c r="C18" s="68">
        <v>1</v>
      </c>
      <c r="G18" s="71">
        <v>44719.165729166663</v>
      </c>
    </row>
    <row r="19" spans="1:7">
      <c r="A19" s="69" t="s">
        <v>1561</v>
      </c>
      <c r="B19" s="69" t="s">
        <v>1570</v>
      </c>
      <c r="C19" s="68" t="s">
        <v>1571</v>
      </c>
      <c r="G19" s="71">
        <v>44719.165729166663</v>
      </c>
    </row>
    <row r="20" spans="1:7">
      <c r="A20" s="69" t="s">
        <v>1561</v>
      </c>
      <c r="B20" s="69" t="s">
        <v>1572</v>
      </c>
      <c r="C20" s="68">
        <v>0</v>
      </c>
      <c r="G20" s="71">
        <v>44719.165729166663</v>
      </c>
    </row>
    <row r="21" spans="1:7">
      <c r="A21" s="69" t="s">
        <v>1561</v>
      </c>
      <c r="B21" s="69" t="s">
        <v>1573</v>
      </c>
      <c r="C21" s="68">
        <v>0</v>
      </c>
      <c r="G21" s="71">
        <v>44719.165729166663</v>
      </c>
    </row>
    <row r="22" spans="1:7">
      <c r="A22" s="69" t="s">
        <v>1561</v>
      </c>
      <c r="B22" s="69" t="s">
        <v>1574</v>
      </c>
      <c r="C22" s="68">
        <v>1</v>
      </c>
      <c r="G22" s="71">
        <v>44719.165729166663</v>
      </c>
    </row>
    <row r="23" spans="1:7">
      <c r="A23" s="69" t="s">
        <v>1561</v>
      </c>
      <c r="B23" s="69" t="s">
        <v>1575</v>
      </c>
      <c r="C23" s="68">
        <v>1</v>
      </c>
      <c r="G23" s="71">
        <v>44719.165729166663</v>
      </c>
    </row>
    <row r="24" spans="1:7">
      <c r="A24" s="69" t="s">
        <v>1561</v>
      </c>
      <c r="B24" s="69" t="s">
        <v>1576</v>
      </c>
      <c r="C24" s="70">
        <v>45653</v>
      </c>
      <c r="G24" s="71">
        <v>45649.001076388886</v>
      </c>
    </row>
    <row r="25" spans="1:7">
      <c r="A25" s="69" t="s">
        <v>1561</v>
      </c>
      <c r="B25" s="69" t="s">
        <v>1577</v>
      </c>
      <c r="C25" s="68" t="s">
        <v>1578</v>
      </c>
      <c r="G25" s="71">
        <v>44719.165729166663</v>
      </c>
    </row>
    <row r="26" spans="1:7">
      <c r="A26" s="69" t="s">
        <v>1561</v>
      </c>
      <c r="B26" s="69" t="s">
        <v>1579</v>
      </c>
      <c r="C26" s="70">
        <v>45565</v>
      </c>
      <c r="G26" s="71">
        <v>45649.001076388886</v>
      </c>
    </row>
    <row r="27" spans="1:7">
      <c r="A27" s="69" t="s">
        <v>1561</v>
      </c>
      <c r="B27" s="69" t="s">
        <v>1580</v>
      </c>
      <c r="C27" s="68" t="s">
        <v>1581</v>
      </c>
      <c r="G27" s="71">
        <v>45648.668715277781</v>
      </c>
    </row>
    <row r="28" spans="1:7">
      <c r="A28" s="69" t="s">
        <v>1561</v>
      </c>
      <c r="B28" s="69" t="s">
        <v>1582</v>
      </c>
      <c r="C28" s="68">
        <v>1</v>
      </c>
      <c r="G28" s="71">
        <v>44719.165729166663</v>
      </c>
    </row>
    <row r="29" spans="1:7">
      <c r="A29" s="69" t="s">
        <v>1561</v>
      </c>
      <c r="B29" s="69" t="s">
        <v>1583</v>
      </c>
      <c r="C29" s="68">
        <v>20</v>
      </c>
      <c r="G29" s="71">
        <v>44719.165729166663</v>
      </c>
    </row>
    <row r="30" spans="1:7">
      <c r="A30" s="69" t="s">
        <v>1561</v>
      </c>
      <c r="B30" s="69" t="s">
        <v>1584</v>
      </c>
      <c r="C30" s="68">
        <v>10</v>
      </c>
      <c r="G30" s="71">
        <v>44719.165729166663</v>
      </c>
    </row>
    <row r="31" spans="1:7">
      <c r="A31" s="69" t="s">
        <v>1585</v>
      </c>
      <c r="B31" s="69" t="s">
        <v>1586</v>
      </c>
      <c r="C31" s="68">
        <v>-4105</v>
      </c>
      <c r="F31" s="71"/>
      <c r="G31" s="71">
        <v>45649.001076388886</v>
      </c>
    </row>
    <row r="32" spans="1:7">
      <c r="A32" s="69" t="s">
        <v>1587</v>
      </c>
      <c r="B32" s="69" t="s">
        <v>1588</v>
      </c>
      <c r="C32" s="68">
        <v>1</v>
      </c>
      <c r="G32" s="71">
        <v>44719.165729166663</v>
      </c>
    </row>
    <row r="33" spans="1:7">
      <c r="A33" s="69" t="s">
        <v>1587</v>
      </c>
      <c r="B33" s="69" t="s">
        <v>1589</v>
      </c>
      <c r="C33" s="68">
        <v>0</v>
      </c>
    </row>
    <row r="34" spans="1:7">
      <c r="A34" s="69" t="s">
        <v>1587</v>
      </c>
      <c r="B34" s="69" t="s">
        <v>1590</v>
      </c>
      <c r="C34" s="68">
        <v>1</v>
      </c>
      <c r="G34" s="71">
        <v>44719.165729166663</v>
      </c>
    </row>
    <row r="35" spans="1:7">
      <c r="A35" s="69" t="s">
        <v>1587</v>
      </c>
      <c r="B35" s="69" t="s">
        <v>1591</v>
      </c>
      <c r="C35" s="68">
        <v>1</v>
      </c>
      <c r="G35" s="71">
        <v>44719.165729166663</v>
      </c>
    </row>
    <row r="36" spans="1:7">
      <c r="A36" s="69" t="s">
        <v>1587</v>
      </c>
      <c r="B36" s="69" t="s">
        <v>1592</v>
      </c>
      <c r="C36" s="68">
        <v>1</v>
      </c>
      <c r="G36" s="71">
        <v>44719.165729166663</v>
      </c>
    </row>
    <row r="37" spans="1:7">
      <c r="A37" s="69" t="s">
        <v>1587</v>
      </c>
      <c r="B37" s="69" t="s">
        <v>1593</v>
      </c>
      <c r="C37" s="68">
        <v>0</v>
      </c>
      <c r="G37" s="71">
        <v>44719.165729166663</v>
      </c>
    </row>
    <row r="38" spans="1:7">
      <c r="A38" s="69" t="s">
        <v>1587</v>
      </c>
      <c r="B38" s="69" t="s">
        <v>1594</v>
      </c>
      <c r="C38" s="68">
        <v>1</v>
      </c>
      <c r="G38" s="71">
        <v>44719.165729166663</v>
      </c>
    </row>
    <row r="39" spans="1:7">
      <c r="A39" s="69" t="s">
        <v>1587</v>
      </c>
      <c r="B39" s="69" t="s">
        <v>1595</v>
      </c>
      <c r="C39" s="68">
        <v>2</v>
      </c>
      <c r="G39" s="71">
        <v>44719.165729166663</v>
      </c>
    </row>
    <row r="40" spans="1:7">
      <c r="A40" s="69" t="s">
        <v>1587</v>
      </c>
      <c r="B40" s="69" t="s">
        <v>1596</v>
      </c>
      <c r="C40" s="68">
        <v>0.7</v>
      </c>
    </row>
    <row r="41" spans="1:7">
      <c r="A41" s="69" t="s">
        <v>1587</v>
      </c>
      <c r="B41" s="69" t="s">
        <v>1597</v>
      </c>
      <c r="C41" s="68">
        <v>1</v>
      </c>
      <c r="G41" s="71">
        <v>44719.165729166663</v>
      </c>
    </row>
    <row r="42" spans="1:7">
      <c r="A42" s="69" t="s">
        <v>1587</v>
      </c>
      <c r="B42" s="69" t="s">
        <v>1598</v>
      </c>
      <c r="C42" s="68">
        <v>1</v>
      </c>
      <c r="G42" s="71">
        <v>44719.165729166663</v>
      </c>
    </row>
    <row r="43" spans="1:7">
      <c r="A43" s="69" t="s">
        <v>1587</v>
      </c>
      <c r="B43" s="69" t="s">
        <v>1599</v>
      </c>
      <c r="C43" s="68">
        <v>-4131</v>
      </c>
      <c r="G43" s="71">
        <v>44719.165729166663</v>
      </c>
    </row>
    <row r="44" spans="1:7">
      <c r="A44" s="69" t="s">
        <v>1587</v>
      </c>
      <c r="B44" s="69" t="s">
        <v>1600</v>
      </c>
      <c r="C44" s="68">
        <v>7</v>
      </c>
      <c r="G44" s="71">
        <v>44719.165729166663</v>
      </c>
    </row>
    <row r="45" spans="1:7">
      <c r="A45" s="69" t="s">
        <v>1587</v>
      </c>
      <c r="B45" s="69" t="s">
        <v>1601</v>
      </c>
      <c r="C45" s="68">
        <v>0</v>
      </c>
      <c r="G45" s="71">
        <v>44719.165729166663</v>
      </c>
    </row>
    <row r="46" spans="1:7">
      <c r="A46" s="69" t="s">
        <v>1587</v>
      </c>
      <c r="B46" s="69" t="s">
        <v>1602</v>
      </c>
      <c r="C46" s="68">
        <v>1</v>
      </c>
      <c r="G46" s="71">
        <v>44719.165729166663</v>
      </c>
    </row>
    <row r="47" spans="1:7">
      <c r="A47" s="69" t="s">
        <v>1587</v>
      </c>
      <c r="B47" s="69" t="s">
        <v>1603</v>
      </c>
      <c r="C47" s="68">
        <v>1</v>
      </c>
      <c r="G47" s="71">
        <v>44719.165729166663</v>
      </c>
    </row>
    <row r="48" spans="1:7">
      <c r="A48" s="69" t="s">
        <v>1587</v>
      </c>
      <c r="B48" s="69" t="s">
        <v>1604</v>
      </c>
      <c r="C48" s="68">
        <v>1</v>
      </c>
    </row>
    <row r="49" spans="1:7">
      <c r="A49" s="69" t="s">
        <v>1587</v>
      </c>
      <c r="B49" s="69" t="s">
        <v>1605</v>
      </c>
      <c r="C49" s="68">
        <v>0</v>
      </c>
    </row>
    <row r="50" spans="1:7">
      <c r="A50" s="69" t="s">
        <v>1587</v>
      </c>
      <c r="B50" s="69" t="s">
        <v>1606</v>
      </c>
      <c r="C50" s="68">
        <v>2</v>
      </c>
      <c r="G50" s="71">
        <v>44719.165729166663</v>
      </c>
    </row>
    <row r="51" spans="1:7">
      <c r="A51" s="69" t="s">
        <v>1587</v>
      </c>
      <c r="B51" s="69" t="s">
        <v>1607</v>
      </c>
      <c r="C51" s="68" t="s">
        <v>1608</v>
      </c>
    </row>
    <row r="52" spans="1:7">
      <c r="A52" s="69" t="s">
        <v>1587</v>
      </c>
      <c r="B52" s="69" t="s">
        <v>1609</v>
      </c>
      <c r="C52" s="68">
        <v>100</v>
      </c>
      <c r="G52" s="71">
        <v>44719.165729166663</v>
      </c>
    </row>
    <row r="53" spans="1:7">
      <c r="A53" s="69" t="s">
        <v>1587</v>
      </c>
      <c r="B53" s="69" t="s">
        <v>1610</v>
      </c>
      <c r="C53" s="68">
        <v>9</v>
      </c>
    </row>
    <row r="54" spans="1:7">
      <c r="A54" s="69" t="s">
        <v>1611</v>
      </c>
      <c r="B54" s="69" t="s">
        <v>1612</v>
      </c>
      <c r="C54" s="68">
        <v>1</v>
      </c>
      <c r="G54" s="71">
        <v>44719.165729166663</v>
      </c>
    </row>
    <row r="55" spans="1:7">
      <c r="A55" s="69" t="s">
        <v>1611</v>
      </c>
      <c r="B55" s="69" t="s">
        <v>1613</v>
      </c>
      <c r="C55" s="68" t="s">
        <v>1614</v>
      </c>
      <c r="G55" s="71">
        <v>44719.165729166663</v>
      </c>
    </row>
    <row r="56" spans="1:7">
      <c r="A56" s="69" t="s">
        <v>1611</v>
      </c>
      <c r="B56" s="69" t="s">
        <v>1615</v>
      </c>
      <c r="C56" s="68" t="s">
        <v>1616</v>
      </c>
      <c r="G56" s="71">
        <v>44717.947500000002</v>
      </c>
    </row>
    <row r="57" spans="1:7">
      <c r="A57" s="69" t="s">
        <v>1611</v>
      </c>
      <c r="B57" s="69" t="s">
        <v>1617</v>
      </c>
      <c r="C57" s="68" t="s">
        <v>1616</v>
      </c>
      <c r="G57" s="71">
        <v>44719.165729166663</v>
      </c>
    </row>
    <row r="58" spans="1:7">
      <c r="A58" s="69" t="s">
        <v>1618</v>
      </c>
      <c r="B58" s="69" t="s">
        <v>1619</v>
      </c>
      <c r="C58" s="68">
        <v>1</v>
      </c>
      <c r="G58" s="71">
        <v>44719.165729166663</v>
      </c>
    </row>
    <row r="59" spans="1:7">
      <c r="A59" s="69" t="s">
        <v>1618</v>
      </c>
      <c r="B59" s="69" t="s">
        <v>1620</v>
      </c>
      <c r="C59" s="68">
        <v>1</v>
      </c>
      <c r="G59" s="71">
        <v>44719.165729166663</v>
      </c>
    </row>
    <row r="60" spans="1:7">
      <c r="A60" s="69" t="s">
        <v>1618</v>
      </c>
      <c r="B60" s="69" t="s">
        <v>1621</v>
      </c>
      <c r="C60" s="68">
        <v>1</v>
      </c>
      <c r="G60" s="71">
        <v>44718.509282407409</v>
      </c>
    </row>
    <row r="61" spans="1:7">
      <c r="A61" s="69" t="s">
        <v>1618</v>
      </c>
      <c r="B61" s="69" t="s">
        <v>1622</v>
      </c>
      <c r="C61" s="68" t="s">
        <v>1623</v>
      </c>
      <c r="G61" s="71">
        <v>44719.165729166663</v>
      </c>
    </row>
    <row r="62" spans="1:7">
      <c r="A62" s="69" t="s">
        <v>1624</v>
      </c>
      <c r="B62" s="69" t="s">
        <v>1625</v>
      </c>
      <c r="C62" s="68" t="b">
        <v>0</v>
      </c>
      <c r="G62" s="71">
        <v>44719.165729166663</v>
      </c>
    </row>
    <row r="63" spans="1:7">
      <c r="A63" s="69" t="s">
        <v>1624</v>
      </c>
      <c r="B63" s="69" t="s">
        <v>1626</v>
      </c>
      <c r="C63" s="68" t="b">
        <v>0</v>
      </c>
      <c r="G63" s="71">
        <v>44719.165729166663</v>
      </c>
    </row>
    <row r="64" spans="1:7">
      <c r="A64" s="69" t="s">
        <v>1624</v>
      </c>
      <c r="B64" s="69" t="s">
        <v>1627</v>
      </c>
      <c r="C64" s="68" t="b">
        <v>1</v>
      </c>
      <c r="G64" s="71">
        <v>44719.165729166663</v>
      </c>
    </row>
    <row r="65" spans="1:7">
      <c r="A65" s="69" t="s">
        <v>1624</v>
      </c>
      <c r="B65" s="69" t="s">
        <v>1628</v>
      </c>
      <c r="C65" s="68" t="b">
        <v>1</v>
      </c>
      <c r="G65" s="71">
        <v>44719.165729166663</v>
      </c>
    </row>
    <row r="66" spans="1:7">
      <c r="A66" s="69" t="s">
        <v>1624</v>
      </c>
      <c r="B66" s="69" t="s">
        <v>1629</v>
      </c>
      <c r="C66" s="68" t="b">
        <v>1</v>
      </c>
      <c r="G66" s="71">
        <v>44719.165729166663</v>
      </c>
    </row>
    <row r="67" spans="1:7">
      <c r="A67" s="69" t="s">
        <v>1624</v>
      </c>
      <c r="B67" s="69" t="s">
        <v>1630</v>
      </c>
      <c r="C67" s="68" t="b">
        <v>1</v>
      </c>
      <c r="G67" s="71">
        <v>44719.165729166663</v>
      </c>
    </row>
    <row r="68" spans="1:7">
      <c r="A68" s="69" t="s">
        <v>1624</v>
      </c>
      <c r="B68" s="69" t="s">
        <v>1631</v>
      </c>
      <c r="G68" s="71">
        <v>44719.165729166663</v>
      </c>
    </row>
    <row r="69" spans="1:7">
      <c r="A69" s="69" t="s">
        <v>1624</v>
      </c>
      <c r="B69" s="69" t="s">
        <v>1632</v>
      </c>
      <c r="G69" s="71">
        <v>44719.165729166663</v>
      </c>
    </row>
    <row r="70" spans="1:7">
      <c r="A70" s="69" t="s">
        <v>1624</v>
      </c>
      <c r="B70" s="69" t="s">
        <v>1633</v>
      </c>
      <c r="C70" s="68" t="s">
        <v>1634</v>
      </c>
      <c r="G70" s="71">
        <v>44719.165729166663</v>
      </c>
    </row>
    <row r="71" spans="1:7">
      <c r="A71" s="69" t="s">
        <v>1624</v>
      </c>
      <c r="B71" s="69" t="s">
        <v>1635</v>
      </c>
      <c r="C71" s="68" t="s">
        <v>1636</v>
      </c>
      <c r="G71" s="71">
        <v>44719.165729166663</v>
      </c>
    </row>
    <row r="72" spans="1:7">
      <c r="A72" s="69" t="s">
        <v>1624</v>
      </c>
      <c r="B72" s="69" t="s">
        <v>1637</v>
      </c>
      <c r="C72" s="68" t="s">
        <v>1638</v>
      </c>
      <c r="G72" s="71">
        <v>44719.165729166663</v>
      </c>
    </row>
    <row r="73" spans="1:7">
      <c r="A73" s="69" t="s">
        <v>1624</v>
      </c>
      <c r="B73" s="69" t="s">
        <v>1639</v>
      </c>
      <c r="C73" s="68" t="s">
        <v>1640</v>
      </c>
      <c r="G73" s="71">
        <v>44719.165729166663</v>
      </c>
    </row>
    <row r="74" spans="1:7">
      <c r="A74" s="69" t="s">
        <v>1624</v>
      </c>
      <c r="B74" s="69" t="s">
        <v>1641</v>
      </c>
      <c r="C74" s="68" t="s">
        <v>1642</v>
      </c>
      <c r="G74" s="71">
        <v>44719.165729166663</v>
      </c>
    </row>
    <row r="75" spans="1:7">
      <c r="A75" s="69" t="s">
        <v>1624</v>
      </c>
      <c r="B75" s="69" t="s">
        <v>1643</v>
      </c>
      <c r="C75" s="68" t="s">
        <v>1644</v>
      </c>
      <c r="G75" s="71">
        <v>44719.165729166663</v>
      </c>
    </row>
    <row r="76" spans="1:7">
      <c r="A76" s="69" t="s">
        <v>1624</v>
      </c>
      <c r="B76" s="69" t="s">
        <v>1645</v>
      </c>
      <c r="G76" s="71">
        <v>44719.165729166663</v>
      </c>
    </row>
    <row r="77" spans="1:7">
      <c r="A77" s="69" t="s">
        <v>1624</v>
      </c>
      <c r="B77" s="69" t="s">
        <v>1646</v>
      </c>
      <c r="G77" s="71">
        <v>44719.165729166663</v>
      </c>
    </row>
    <row r="78" spans="1:7">
      <c r="A78" s="69" t="s">
        <v>1624</v>
      </c>
      <c r="B78" s="69" t="s">
        <v>1647</v>
      </c>
      <c r="C78" s="68" t="s">
        <v>1648</v>
      </c>
      <c r="G78" s="71">
        <v>44719.165729166663</v>
      </c>
    </row>
    <row r="79" spans="1:7">
      <c r="A79" s="69" t="s">
        <v>1624</v>
      </c>
      <c r="B79" s="69" t="s">
        <v>1649</v>
      </c>
      <c r="C79" s="68" t="s">
        <v>1650</v>
      </c>
      <c r="G79" s="71">
        <v>44719.165729166663</v>
      </c>
    </row>
    <row r="80" spans="1:7">
      <c r="A80" s="69" t="s">
        <v>1624</v>
      </c>
      <c r="B80" s="69" t="s">
        <v>1651</v>
      </c>
      <c r="C80" s="68" t="s">
        <v>1652</v>
      </c>
      <c r="G80" s="71">
        <v>44719.165729166663</v>
      </c>
    </row>
    <row r="81" spans="1:7">
      <c r="A81" s="69" t="s">
        <v>1624</v>
      </c>
      <c r="B81" s="69" t="s">
        <v>1653</v>
      </c>
      <c r="C81" s="68" t="s">
        <v>1654</v>
      </c>
      <c r="G81" s="71">
        <v>44719.165729166663</v>
      </c>
    </row>
    <row r="82" spans="1:7">
      <c r="A82" s="69" t="s">
        <v>1624</v>
      </c>
      <c r="B82" s="69" t="s">
        <v>1655</v>
      </c>
      <c r="C82" s="68" t="s">
        <v>1656</v>
      </c>
      <c r="G82" s="71">
        <v>44719.165729166663</v>
      </c>
    </row>
    <row r="83" spans="1:7">
      <c r="A83" s="69" t="s">
        <v>1624</v>
      </c>
      <c r="B83" s="69" t="s">
        <v>1657</v>
      </c>
      <c r="C83" s="68" t="s">
        <v>1658</v>
      </c>
      <c r="G83" s="71">
        <v>44719.165729166663</v>
      </c>
    </row>
    <row r="84" spans="1:7">
      <c r="A84" s="69" t="s">
        <v>1624</v>
      </c>
      <c r="B84" s="69" t="s">
        <v>1659</v>
      </c>
      <c r="G84" s="71">
        <v>44719.165729166663</v>
      </c>
    </row>
    <row r="85" spans="1:7">
      <c r="A85" s="69" t="s">
        <v>1624</v>
      </c>
      <c r="B85" s="69" t="s">
        <v>1660</v>
      </c>
      <c r="G85" s="71">
        <v>44719.165729166663</v>
      </c>
    </row>
    <row r="86" spans="1:7">
      <c r="A86" s="69" t="s">
        <v>1624</v>
      </c>
      <c r="B86" s="69" t="s">
        <v>1661</v>
      </c>
      <c r="C86" s="68" t="s">
        <v>1662</v>
      </c>
      <c r="G86" s="71">
        <v>44719.165729166663</v>
      </c>
    </row>
    <row r="87" spans="1:7">
      <c r="A87" s="69" t="s">
        <v>1624</v>
      </c>
      <c r="B87" s="69" t="s">
        <v>1663</v>
      </c>
      <c r="C87" s="68" t="s">
        <v>1662</v>
      </c>
      <c r="G87" s="71">
        <v>44719.165729166663</v>
      </c>
    </row>
    <row r="88" spans="1:7">
      <c r="A88" s="69" t="s">
        <v>1624</v>
      </c>
      <c r="B88" s="69" t="s">
        <v>1664</v>
      </c>
      <c r="C88" s="68" t="s">
        <v>1662</v>
      </c>
      <c r="G88" s="71">
        <v>44719.165729166663</v>
      </c>
    </row>
    <row r="89" spans="1:7">
      <c r="A89" s="69" t="s">
        <v>1624</v>
      </c>
      <c r="B89" s="69" t="s">
        <v>1665</v>
      </c>
      <c r="C89" s="68" t="s">
        <v>1666</v>
      </c>
      <c r="G89" s="71">
        <v>44719.165729166663</v>
      </c>
    </row>
    <row r="90" spans="1:7">
      <c r="A90" s="69" t="s">
        <v>1624</v>
      </c>
      <c r="B90" s="69" t="s">
        <v>1667</v>
      </c>
      <c r="C90" s="68" t="s">
        <v>1668</v>
      </c>
      <c r="G90" s="71">
        <v>44719.165729166663</v>
      </c>
    </row>
    <row r="91" spans="1:7">
      <c r="A91" s="69" t="s">
        <v>1624</v>
      </c>
      <c r="B91" s="69" t="s">
        <v>1669</v>
      </c>
      <c r="C91" s="68" t="s">
        <v>1670</v>
      </c>
      <c r="G91" s="71">
        <v>44719.165729166663</v>
      </c>
    </row>
    <row r="92" spans="1:7">
      <c r="A92" s="69" t="s">
        <v>1624</v>
      </c>
      <c r="B92" s="69" t="s">
        <v>1671</v>
      </c>
      <c r="G92" s="71">
        <v>44719.165729166663</v>
      </c>
    </row>
    <row r="93" spans="1:7">
      <c r="A93" s="69" t="s">
        <v>1624</v>
      </c>
      <c r="B93" s="69" t="s">
        <v>1672</v>
      </c>
      <c r="G93" s="71">
        <v>44719.165729166663</v>
      </c>
    </row>
    <row r="94" spans="1:7">
      <c r="A94" s="69" t="s">
        <v>1673</v>
      </c>
      <c r="B94" s="69" t="s">
        <v>1674</v>
      </c>
      <c r="C94" s="68" t="b">
        <v>1</v>
      </c>
      <c r="F94" s="71"/>
      <c r="G94" s="71">
        <v>44717.850543981483</v>
      </c>
    </row>
    <row r="95" spans="1:7">
      <c r="A95" s="69" t="s">
        <v>1673</v>
      </c>
      <c r="B95" s="69" t="s">
        <v>1675</v>
      </c>
      <c r="C95" s="68" t="b">
        <v>1</v>
      </c>
      <c r="F95" s="71"/>
      <c r="G95" s="71">
        <v>44717.850543981483</v>
      </c>
    </row>
    <row r="96" spans="1:7">
      <c r="A96" s="69" t="s">
        <v>1673</v>
      </c>
      <c r="B96" s="69" t="s">
        <v>1676</v>
      </c>
      <c r="C96" s="68" t="b">
        <v>0</v>
      </c>
      <c r="F96" s="71"/>
      <c r="G96" s="71">
        <v>44717.850543981483</v>
      </c>
    </row>
    <row r="97" spans="1:7">
      <c r="A97" s="69" t="s">
        <v>1673</v>
      </c>
      <c r="B97" s="69" t="s">
        <v>1677</v>
      </c>
      <c r="C97" s="68" t="b">
        <v>0</v>
      </c>
      <c r="F97" s="71"/>
      <c r="G97" s="71">
        <v>44717.850543981483</v>
      </c>
    </row>
    <row r="98" spans="1:7">
      <c r="A98" s="69" t="s">
        <v>1673</v>
      </c>
      <c r="B98" s="69" t="s">
        <v>1678</v>
      </c>
      <c r="C98" s="68" t="b">
        <v>0</v>
      </c>
      <c r="F98" s="71"/>
      <c r="G98" s="71">
        <v>44717.850543981483</v>
      </c>
    </row>
    <row r="99" spans="1:7">
      <c r="A99" s="69" t="s">
        <v>1673</v>
      </c>
      <c r="B99" s="69" t="s">
        <v>1679</v>
      </c>
      <c r="C99" s="68" t="b">
        <v>1</v>
      </c>
      <c r="F99" s="71"/>
      <c r="G99" s="71">
        <v>44717.850543981483</v>
      </c>
    </row>
    <row r="100" spans="1:7">
      <c r="A100" s="69" t="s">
        <v>1673</v>
      </c>
      <c r="B100" s="69" t="s">
        <v>1680</v>
      </c>
      <c r="C100" s="68" t="b">
        <v>0</v>
      </c>
      <c r="F100" s="71"/>
      <c r="G100" s="71">
        <v>44717.850543981483</v>
      </c>
    </row>
    <row r="101" spans="1:7">
      <c r="A101" s="69" t="s">
        <v>1673</v>
      </c>
      <c r="B101" s="69" t="s">
        <v>1681</v>
      </c>
      <c r="C101" s="68" t="b">
        <v>0</v>
      </c>
      <c r="F101" s="71"/>
      <c r="G101" s="71">
        <v>44717.850543981483</v>
      </c>
    </row>
    <row r="102" spans="1:7">
      <c r="A102" s="69" t="s">
        <v>1673</v>
      </c>
      <c r="B102" s="69" t="s">
        <v>1682</v>
      </c>
      <c r="C102" s="68" t="b">
        <v>0</v>
      </c>
      <c r="F102" s="71"/>
      <c r="G102" s="71">
        <v>44717.850543981483</v>
      </c>
    </row>
    <row r="103" spans="1:7">
      <c r="A103" s="69" t="s">
        <v>1673</v>
      </c>
      <c r="B103" s="69" t="s">
        <v>1683</v>
      </c>
      <c r="C103" s="68" t="b">
        <v>0</v>
      </c>
      <c r="F103" s="71"/>
      <c r="G103" s="71">
        <v>44717.850543981483</v>
      </c>
    </row>
    <row r="104" spans="1:7">
      <c r="A104" s="69" t="s">
        <v>1673</v>
      </c>
      <c r="B104" s="69" t="s">
        <v>1684</v>
      </c>
      <c r="C104" s="68" t="b">
        <v>0</v>
      </c>
      <c r="F104" s="71"/>
      <c r="G104" s="71">
        <v>44717.850543981483</v>
      </c>
    </row>
    <row r="105" spans="1:7">
      <c r="A105" s="69" t="s">
        <v>1673</v>
      </c>
      <c r="B105" s="69" t="s">
        <v>1685</v>
      </c>
      <c r="C105" s="68">
        <v>0</v>
      </c>
      <c r="F105" s="71"/>
      <c r="G105" s="71">
        <v>44717.850543981483</v>
      </c>
    </row>
    <row r="106" spans="1:7">
      <c r="A106" s="69" t="s">
        <v>1673</v>
      </c>
      <c r="B106" s="69" t="s">
        <v>1686</v>
      </c>
      <c r="C106" s="68">
        <v>80</v>
      </c>
      <c r="F106" s="71"/>
      <c r="G106" s="71">
        <v>44717.850543981483</v>
      </c>
    </row>
    <row r="107" spans="1:7">
      <c r="A107" s="69" t="s">
        <v>1673</v>
      </c>
      <c r="B107" s="69" t="s">
        <v>1687</v>
      </c>
      <c r="F107" s="71"/>
      <c r="G107" s="71">
        <v>44717.850543981483</v>
      </c>
    </row>
    <row r="108" spans="1:7">
      <c r="A108" s="69" t="s">
        <v>1673</v>
      </c>
      <c r="B108" s="69" t="s">
        <v>1688</v>
      </c>
      <c r="C108" s="70">
        <v>44562</v>
      </c>
      <c r="F108" s="71"/>
      <c r="G108" s="71">
        <v>44717.850543981483</v>
      </c>
    </row>
    <row r="109" spans="1:7">
      <c r="A109" s="69" t="s">
        <v>1673</v>
      </c>
      <c r="B109" s="69" t="s">
        <v>1689</v>
      </c>
      <c r="C109" s="70">
        <v>44199</v>
      </c>
      <c r="F109" s="71"/>
      <c r="G109" s="71">
        <v>44717.850543981483</v>
      </c>
    </row>
  </sheetData>
  <sortState ref="A54:AB93">
    <sortCondition ref="A54:A93"/>
    <sortCondition ref="B54:B93"/>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2b5e910-bfff-40f6-b757-1a2aa54fec56">
      <Terms xmlns="http://schemas.microsoft.com/office/infopath/2007/PartnerControls"/>
    </lcf76f155ced4ddcb4097134ff3c332f>
    <TaxCatchAll xmlns="be784718-6c25-42df-9713-393ee930b74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FA43F13AA6D248B6C73015B58827B1" ma:contentTypeVersion="11" ma:contentTypeDescription="Create a new document." ma:contentTypeScope="" ma:versionID="d8b72679c361cafe8608000bce121b86">
  <xsd:schema xmlns:xsd="http://www.w3.org/2001/XMLSchema" xmlns:xs="http://www.w3.org/2001/XMLSchema" xmlns:p="http://schemas.microsoft.com/office/2006/metadata/properties" xmlns:ns2="c2b5e910-bfff-40f6-b757-1a2aa54fec56" xmlns:ns3="be784718-6c25-42df-9713-393ee930b749" targetNamespace="http://schemas.microsoft.com/office/2006/metadata/properties" ma:root="true" ma:fieldsID="6c5c713e1516901dca0b352108938580" ns2:_="" ns3:_="">
    <xsd:import namespace="c2b5e910-bfff-40f6-b757-1a2aa54fec56"/>
    <xsd:import namespace="be784718-6c25-42df-9713-393ee930b74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b5e910-bfff-40f6-b757-1a2aa54fec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83e4a51d-6507-421c-8760-bc61444c9b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784718-6c25-42df-9713-393ee930b74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d2e3229-ab74-458e-97d0-f90865c56020}" ma:internalName="TaxCatchAll" ma:showField="CatchAllData" ma:web="be784718-6c25-42df-9713-393ee930b7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964057-F3AE-44CD-93F9-AFF8B6637FDA}">
  <ds:schemaRefs>
    <ds:schemaRef ds:uri="http://schemas.microsoft.com/sharepoint/v3/contenttype/forms"/>
  </ds:schemaRefs>
</ds:datastoreItem>
</file>

<file path=customXml/itemProps2.xml><?xml version="1.0" encoding="utf-8"?>
<ds:datastoreItem xmlns:ds="http://schemas.openxmlformats.org/officeDocument/2006/customXml" ds:itemID="{34D088C9-D48A-429D-89D3-ECF7EC5B952E}">
  <ds:schemaRefs>
    <ds:schemaRef ds:uri="http://schemas.microsoft.com/office/2006/metadata/properties"/>
    <ds:schemaRef ds:uri="http://schemas.microsoft.com/office/infopath/2007/PartnerControls"/>
    <ds:schemaRef ds:uri="c2b5e910-bfff-40f6-b757-1a2aa54fec56"/>
    <ds:schemaRef ds:uri="be784718-6c25-42df-9713-393ee930b749"/>
  </ds:schemaRefs>
</ds:datastoreItem>
</file>

<file path=customXml/itemProps3.xml><?xml version="1.0" encoding="utf-8"?>
<ds:datastoreItem xmlns:ds="http://schemas.openxmlformats.org/officeDocument/2006/customXml" ds:itemID="{BFC86960-9163-4AE4-9902-C8DC215FDFF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b5e910-bfff-40f6-b757-1a2aa54fec56"/>
    <ds:schemaRef ds:uri="be784718-6c25-42df-9713-393ee930b7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CHU VAN LUONG(CHU VAN LUONG, Luka)</dc:creator>
  <cp:keywords/>
  <dc:description/>
  <cp:lastModifiedBy>Ideapad</cp:lastModifiedBy>
  <cp:revision/>
  <dcterms:created xsi:type="dcterms:W3CDTF">2018-02-18T09:45:14Z</dcterms:created>
  <dcterms:modified xsi:type="dcterms:W3CDTF">2024-12-22T17:01:34Z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0x010100C1FA43F13AA6D248B6C73015B58827B1</vt:lpwstr>
  </property>
  <property fmtid="{D5CDD505-2E9C-101B-9397-08002B2CF9AE}" pid="3" name="MediaServiceImageTags">
    <vt:lpwstr/>
  </property>
  <property fmtid="{D5CDD505-2E9C-101B-9397-08002B2CF9AE}" pid="4" name="xd_ProgID">
    <vt:lpwstr/>
  </property>
  <property fmtid="{D5CDD505-2E9C-101B-9397-08002B2CF9AE}" pid="5" name="_SourceUrl">
    <vt:lpwstr/>
  </property>
  <property fmtid="{D5CDD505-2E9C-101B-9397-08002B2CF9AE}" pid="6" name="_SharedFileIndex">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y fmtid="{D5CDD505-2E9C-101B-9397-08002B2CF9AE}" pid="11" name="xd_Signature">
    <vt:bool>false</vt:bool>
  </property>
</Properties>
</file>